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ukmi\Desktop\SQL PRACTICE\KPI Analysis-Modelling\"/>
    </mc:Choice>
  </mc:AlternateContent>
  <xr:revisionPtr revIDLastSave="0" documentId="13_ncr:1_{C88366D4-0918-4D37-AB60-5CBD4BA6C2FC}" xr6:coauthVersionLast="47" xr6:coauthVersionMax="47" xr10:uidLastSave="{00000000-0000-0000-0000-000000000000}"/>
  <bookViews>
    <workbookView xWindow="-108" yWindow="-108" windowWidth="23256" windowHeight="12456" tabRatio="844" activeTab="5" xr2:uid="{00000000-000D-0000-FFFF-FFFF00000000}"/>
  </bookViews>
  <sheets>
    <sheet name="Cover" sheetId="1" r:id="rId1"/>
    <sheet name="Assumptions" sheetId="2" r:id="rId2"/>
    <sheet name="Historical Data" sheetId="3" r:id="rId3"/>
    <sheet name="Revenue Build" sheetId="4" r:id="rId4"/>
    <sheet name="Income Statement" sheetId="5" r:id="rId5"/>
    <sheet name="Balance Sheet" sheetId="6" r:id="rId6"/>
    <sheet name="Cash Flow" sheetId="7" r:id="rId7"/>
    <sheet name="Schedules" sheetId="8" r:id="rId8"/>
    <sheet name="DCF Valuation" sheetId="9" r:id="rId9"/>
    <sheet name="Sensitivity" sheetId="10" state="hidden" r:id="rId10"/>
    <sheet name="Dashboard" sheetId="11" r:id="rId11"/>
  </sheets>
  <calcPr calcId="191029"/>
</workbook>
</file>

<file path=xl/calcChain.xml><?xml version="1.0" encoding="utf-8"?>
<calcChain xmlns="http://schemas.openxmlformats.org/spreadsheetml/2006/main">
  <c r="C33" i="9" l="1"/>
  <c r="D33" i="9"/>
  <c r="E33" i="9"/>
  <c r="F33" i="9"/>
  <c r="G33" i="9"/>
  <c r="C34" i="9"/>
  <c r="D34" i="9"/>
  <c r="E34" i="9"/>
  <c r="F34" i="9"/>
  <c r="G34" i="9"/>
  <c r="C35" i="9"/>
  <c r="D35" i="9"/>
  <c r="E35" i="9"/>
  <c r="F35" i="9"/>
  <c r="G35" i="9"/>
  <c r="C36" i="9"/>
  <c r="D36" i="9"/>
  <c r="E36" i="9"/>
  <c r="F36" i="9"/>
  <c r="G36" i="9"/>
  <c r="C37" i="9"/>
  <c r="D37" i="9"/>
  <c r="E37" i="9"/>
  <c r="F37" i="9"/>
  <c r="G37" i="9"/>
  <c r="B34" i="9"/>
  <c r="B35" i="9"/>
  <c r="B36" i="9"/>
  <c r="B37" i="9"/>
  <c r="B33" i="9"/>
  <c r="B4" i="7"/>
  <c r="C4" i="7"/>
  <c r="D4" i="7"/>
  <c r="B4" i="11"/>
  <c r="B25" i="9"/>
  <c r="B23" i="9"/>
  <c r="B22" i="9"/>
  <c r="B17" i="9"/>
  <c r="C12" i="9" s="1"/>
  <c r="B16" i="9"/>
  <c r="E12" i="9"/>
  <c r="D12" i="9"/>
  <c r="F5" i="9"/>
  <c r="E5" i="9"/>
  <c r="D5" i="9"/>
  <c r="C5" i="9"/>
  <c r="B5" i="9"/>
  <c r="I14" i="8"/>
  <c r="H14" i="8"/>
  <c r="H16" i="7" s="1"/>
  <c r="G14" i="8"/>
  <c r="F14" i="8"/>
  <c r="E14" i="8"/>
  <c r="E19" i="7"/>
  <c r="I16" i="7"/>
  <c r="G16" i="7"/>
  <c r="F16" i="7"/>
  <c r="E16" i="7"/>
  <c r="H17" i="6"/>
  <c r="I17" i="6" s="1"/>
  <c r="F17" i="6"/>
  <c r="G17" i="6" s="1"/>
  <c r="E17" i="6"/>
  <c r="I14" i="6"/>
  <c r="H14" i="6"/>
  <c r="G14" i="6"/>
  <c r="F14" i="6"/>
  <c r="E14" i="6"/>
  <c r="I11" i="5"/>
  <c r="I15" i="8" s="1"/>
  <c r="H11" i="5"/>
  <c r="H15" i="8" s="1"/>
  <c r="G11" i="5"/>
  <c r="G15" i="8" s="1"/>
  <c r="F11" i="5"/>
  <c r="F15" i="8" s="1"/>
  <c r="E11" i="5"/>
  <c r="E15" i="8" s="1"/>
  <c r="I5" i="4"/>
  <c r="H5" i="4"/>
  <c r="G5" i="4"/>
  <c r="F5" i="4"/>
  <c r="E5" i="4"/>
  <c r="D5" i="4"/>
  <c r="C5" i="4"/>
  <c r="G4" i="4"/>
  <c r="G4" i="5" s="1"/>
  <c r="F4" i="4"/>
  <c r="F4" i="5" s="1"/>
  <c r="E4" i="4"/>
  <c r="E4" i="5" s="1"/>
  <c r="E8" i="8" l="1"/>
  <c r="E4" i="8"/>
  <c r="B12" i="11"/>
  <c r="E11" i="8"/>
  <c r="E10" i="8"/>
  <c r="E6" i="8"/>
  <c r="E9" i="5"/>
  <c r="E12" i="8" s="1"/>
  <c r="E5" i="5"/>
  <c r="E7" i="8" s="1"/>
  <c r="E5" i="8"/>
  <c r="E9" i="8"/>
  <c r="E7" i="5"/>
  <c r="D12" i="11"/>
  <c r="G10" i="8"/>
  <c r="G6" i="8"/>
  <c r="G9" i="8"/>
  <c r="G5" i="8"/>
  <c r="G8" i="8"/>
  <c r="G4" i="8"/>
  <c r="G7" i="5"/>
  <c r="G9" i="5"/>
  <c r="G12" i="8" s="1"/>
  <c r="G5" i="5"/>
  <c r="G7" i="8" s="1"/>
  <c r="G11" i="8"/>
  <c r="C12" i="11"/>
  <c r="F11" i="8"/>
  <c r="F10" i="8"/>
  <c r="F6" i="8"/>
  <c r="F9" i="8"/>
  <c r="F5" i="8"/>
  <c r="F4" i="8"/>
  <c r="F5" i="5"/>
  <c r="F7" i="8" s="1"/>
  <c r="F7" i="5"/>
  <c r="F8" i="8"/>
  <c r="F9" i="5"/>
  <c r="F12" i="8" s="1"/>
  <c r="H4" i="4"/>
  <c r="B12" i="9"/>
  <c r="F12" i="9"/>
  <c r="F13" i="6" l="1"/>
  <c r="F10" i="7"/>
  <c r="G12" i="6"/>
  <c r="G16" i="6" s="1"/>
  <c r="G9" i="7"/>
  <c r="G8" i="7"/>
  <c r="G7" i="6"/>
  <c r="F6" i="6"/>
  <c r="F7" i="7"/>
  <c r="F14" i="7"/>
  <c r="F15" i="7" s="1"/>
  <c r="C8" i="9"/>
  <c r="G13" i="6"/>
  <c r="G10" i="7"/>
  <c r="G12" i="7"/>
  <c r="G15" i="6"/>
  <c r="E6" i="5"/>
  <c r="E8" i="5" s="1"/>
  <c r="E7" i="6"/>
  <c r="E8" i="7"/>
  <c r="B9" i="9"/>
  <c r="E6" i="7"/>
  <c r="E5" i="6"/>
  <c r="C9" i="9"/>
  <c r="F6" i="7"/>
  <c r="F5" i="6"/>
  <c r="F12" i="7"/>
  <c r="F15" i="6"/>
  <c r="G5" i="6"/>
  <c r="D9" i="9"/>
  <c r="G6" i="7"/>
  <c r="E5" i="7"/>
  <c r="B7" i="9"/>
  <c r="E11" i="7"/>
  <c r="E10" i="6"/>
  <c r="F6" i="5"/>
  <c r="F8" i="5" s="1"/>
  <c r="C7" i="9"/>
  <c r="F10" i="6"/>
  <c r="F5" i="7"/>
  <c r="F11" i="7"/>
  <c r="G6" i="5"/>
  <c r="G8" i="5" s="1"/>
  <c r="G7" i="7"/>
  <c r="G6" i="6"/>
  <c r="E6" i="6"/>
  <c r="E7" i="7"/>
  <c r="E15" i="6"/>
  <c r="E12" i="7"/>
  <c r="E10" i="7"/>
  <c r="E13" i="6"/>
  <c r="I4" i="4"/>
  <c r="I4" i="5" s="1"/>
  <c r="H4" i="5"/>
  <c r="F12" i="6"/>
  <c r="F16" i="6" s="1"/>
  <c r="F9" i="7"/>
  <c r="F8" i="7"/>
  <c r="F7" i="6"/>
  <c r="D8" i="9"/>
  <c r="G14" i="7"/>
  <c r="G15" i="7" s="1"/>
  <c r="G11" i="7"/>
  <c r="G5" i="7"/>
  <c r="D7" i="9"/>
  <c r="G10" i="6"/>
  <c r="E9" i="7"/>
  <c r="E12" i="6"/>
  <c r="B8" i="9"/>
  <c r="E13" i="8"/>
  <c r="E14" i="7"/>
  <c r="E15" i="7" s="1"/>
  <c r="D13" i="11" l="1"/>
  <c r="G10" i="5"/>
  <c r="B13" i="11"/>
  <c r="E10" i="5"/>
  <c r="E16" i="6"/>
  <c r="C13" i="11"/>
  <c r="F10" i="5"/>
  <c r="I8" i="8"/>
  <c r="I4" i="8"/>
  <c r="F12" i="11"/>
  <c r="B5" i="11"/>
  <c r="I11" i="8"/>
  <c r="I10" i="8"/>
  <c r="I6" i="8"/>
  <c r="I9" i="5"/>
  <c r="I12" i="8" s="1"/>
  <c r="I5" i="5"/>
  <c r="I7" i="8" s="1"/>
  <c r="I9" i="8"/>
  <c r="I5" i="8"/>
  <c r="I7" i="5"/>
  <c r="I6" i="5"/>
  <c r="F13" i="8"/>
  <c r="E9" i="6"/>
  <c r="H9" i="8"/>
  <c r="H5" i="8"/>
  <c r="H8" i="8"/>
  <c r="H4" i="8"/>
  <c r="E12" i="11"/>
  <c r="H11" i="8"/>
  <c r="H10" i="8"/>
  <c r="H6" i="5"/>
  <c r="H6" i="8"/>
  <c r="H9" i="5"/>
  <c r="H12" i="8" s="1"/>
  <c r="H5" i="5"/>
  <c r="H7" i="8" s="1"/>
  <c r="H7" i="5"/>
  <c r="H8" i="5" l="1"/>
  <c r="C4" i="9"/>
  <c r="C6" i="9" s="1"/>
  <c r="C10" i="9" s="1"/>
  <c r="F12" i="5"/>
  <c r="G13" i="8"/>
  <c r="F9" i="6"/>
  <c r="I7" i="7"/>
  <c r="I6" i="6"/>
  <c r="I7" i="6"/>
  <c r="I8" i="7"/>
  <c r="E9" i="9"/>
  <c r="H6" i="7"/>
  <c r="H5" i="6"/>
  <c r="B4" i="9"/>
  <c r="B6" i="9" s="1"/>
  <c r="B10" i="9" s="1"/>
  <c r="E12" i="5"/>
  <c r="H12" i="7"/>
  <c r="H15" i="6"/>
  <c r="H10" i="7"/>
  <c r="H13" i="6"/>
  <c r="H14" i="7"/>
  <c r="H15" i="7" s="1"/>
  <c r="E8" i="9"/>
  <c r="H7" i="7"/>
  <c r="H6" i="6"/>
  <c r="I5" i="7"/>
  <c r="F7" i="9"/>
  <c r="I11" i="7"/>
  <c r="I10" i="6"/>
  <c r="I15" i="6"/>
  <c r="I12" i="7"/>
  <c r="I6" i="7"/>
  <c r="I5" i="6"/>
  <c r="F9" i="9"/>
  <c r="G12" i="5"/>
  <c r="D4" i="9"/>
  <c r="D6" i="9" s="1"/>
  <c r="D10" i="9" s="1"/>
  <c r="H12" i="6"/>
  <c r="H9" i="7"/>
  <c r="H8" i="7"/>
  <c r="H7" i="6"/>
  <c r="E7" i="9"/>
  <c r="H5" i="7"/>
  <c r="H11" i="7"/>
  <c r="H10" i="6"/>
  <c r="I8" i="5"/>
  <c r="I9" i="7"/>
  <c r="I12" i="6"/>
  <c r="F8" i="9"/>
  <c r="I14" i="7"/>
  <c r="I15" i="7" s="1"/>
  <c r="I10" i="7"/>
  <c r="I13" i="6"/>
  <c r="G13" i="5" l="1"/>
  <c r="G14" i="5" s="1"/>
  <c r="G4" i="7" s="1"/>
  <c r="G13" i="7" s="1"/>
  <c r="F13" i="11"/>
  <c r="B6" i="11"/>
  <c r="I10" i="5"/>
  <c r="F13" i="5"/>
  <c r="F14" i="5" s="1"/>
  <c r="F4" i="7" s="1"/>
  <c r="F13" i="7" s="1"/>
  <c r="I16" i="6"/>
  <c r="H16" i="6"/>
  <c r="E14" i="5"/>
  <c r="E13" i="5"/>
  <c r="C14" i="11"/>
  <c r="C13" i="9"/>
  <c r="H13" i="8"/>
  <c r="G9" i="6"/>
  <c r="D14" i="11"/>
  <c r="D13" i="9"/>
  <c r="B14" i="11"/>
  <c r="B13" i="9"/>
  <c r="E13" i="11"/>
  <c r="H10" i="5"/>
  <c r="I13" i="8" l="1"/>
  <c r="I9" i="6" s="1"/>
  <c r="H9" i="6"/>
  <c r="E18" i="6"/>
  <c r="E4" i="7"/>
  <c r="E13" i="7" s="1"/>
  <c r="E17" i="7"/>
  <c r="E4" i="9"/>
  <c r="E6" i="9" s="1"/>
  <c r="E10" i="9" s="1"/>
  <c r="H12" i="5"/>
  <c r="F4" i="9"/>
  <c r="F6" i="9" s="1"/>
  <c r="F10" i="9" s="1"/>
  <c r="B18" i="9" s="1"/>
  <c r="I12" i="5"/>
  <c r="F18" i="6" l="1"/>
  <c r="E19" i="6"/>
  <c r="E20" i="6" s="1"/>
  <c r="F14" i="11"/>
  <c r="F13" i="9"/>
  <c r="B19" i="9"/>
  <c r="E18" i="7"/>
  <c r="E20" i="7" s="1"/>
  <c r="H14" i="5"/>
  <c r="H4" i="7" s="1"/>
  <c r="H13" i="7" s="1"/>
  <c r="H13" i="5"/>
  <c r="I13" i="5"/>
  <c r="I14" i="5" s="1"/>
  <c r="I4" i="7" s="1"/>
  <c r="I13" i="7" s="1"/>
  <c r="E14" i="11"/>
  <c r="E13" i="9"/>
  <c r="G9" i="10" s="1"/>
  <c r="D7" i="10" l="1"/>
  <c r="E7" i="10"/>
  <c r="F6" i="10"/>
  <c r="F19" i="7"/>
  <c r="E4" i="6"/>
  <c r="E8" i="6" s="1"/>
  <c r="E11" i="6" s="1"/>
  <c r="E21" i="6" s="1"/>
  <c r="B7" i="10"/>
  <c r="F9" i="10"/>
  <c r="D5" i="10"/>
  <c r="E5" i="10"/>
  <c r="B5" i="10"/>
  <c r="C5" i="10"/>
  <c r="G7" i="10"/>
  <c r="B20" i="9"/>
  <c r="B21" i="9" s="1"/>
  <c r="B6" i="10"/>
  <c r="F8" i="10"/>
  <c r="C6" i="10"/>
  <c r="G8" i="10"/>
  <c r="F5" i="10"/>
  <c r="D8" i="10"/>
  <c r="G5" i="10"/>
  <c r="E8" i="10"/>
  <c r="F17" i="7"/>
  <c r="F18" i="7" s="1"/>
  <c r="F20" i="7" s="1"/>
  <c r="C7" i="10"/>
  <c r="B8" i="10"/>
  <c r="C8" i="10"/>
  <c r="F7" i="10"/>
  <c r="D9" i="10"/>
  <c r="G6" i="10"/>
  <c r="E9" i="10"/>
  <c r="D6" i="10"/>
  <c r="B9" i="10"/>
  <c r="E6" i="10"/>
  <c r="C9" i="10"/>
  <c r="G18" i="6"/>
  <c r="F19" i="6"/>
  <c r="F20" i="6" s="1"/>
  <c r="G17" i="7"/>
  <c r="G18" i="7" s="1"/>
  <c r="B7" i="11" l="1"/>
  <c r="B24" i="9"/>
  <c r="B26" i="9" s="1"/>
  <c r="B8" i="11" s="1"/>
  <c r="G20" i="7"/>
  <c r="H18" i="6"/>
  <c r="G19" i="6"/>
  <c r="G20" i="6" s="1"/>
  <c r="G19" i="7"/>
  <c r="F4" i="6"/>
  <c r="F8" i="6" s="1"/>
  <c r="F11" i="6" s="1"/>
  <c r="F21" i="6" s="1"/>
  <c r="G4" i="6" l="1"/>
  <c r="G8" i="6" s="1"/>
  <c r="G11" i="6" s="1"/>
  <c r="G21" i="6" s="1"/>
  <c r="H19" i="7"/>
  <c r="H17" i="7"/>
  <c r="H18" i="7" s="1"/>
  <c r="H20" i="7" s="1"/>
  <c r="I18" i="6"/>
  <c r="I19" i="6" s="1"/>
  <c r="I20" i="6" s="1"/>
  <c r="H19" i="6"/>
  <c r="H20" i="6" s="1"/>
  <c r="H4" i="6" l="1"/>
  <c r="H8" i="6" s="1"/>
  <c r="H11" i="6" s="1"/>
  <c r="H21" i="6" s="1"/>
  <c r="I19" i="7"/>
  <c r="I17" i="7"/>
  <c r="I18" i="7" s="1"/>
  <c r="I20" i="7" s="1"/>
  <c r="I4" i="6" s="1"/>
  <c r="I8" i="6" s="1"/>
  <c r="I11" i="6" s="1"/>
  <c r="I21" i="6" s="1"/>
</calcChain>
</file>

<file path=xl/sharedStrings.xml><?xml version="1.0" encoding="utf-8"?>
<sst xmlns="http://schemas.openxmlformats.org/spreadsheetml/2006/main" count="189" uniqueCount="123">
  <si>
    <t>Integrated 3-Statement Financial Model &amp; DCF Valuation</t>
  </si>
  <si>
    <t>Portfolio Project | Historical 2023–2025 | Forecast 2026–2030</t>
  </si>
  <si>
    <t>Model Highlights</t>
  </si>
  <si>
    <t>• Fully integrated Income Statement, Balance Sheet and Cash Flow</t>
  </si>
  <si>
    <t>• Driver-based 5-year operating forecast</t>
  </si>
  <si>
    <t>• Working capital, PP&amp;E and debt schedules</t>
  </si>
  <si>
    <t>• FCFF DCF with WACC, terminal value and sensitivity analysis</t>
  </si>
  <si>
    <t>Operating Assumptions</t>
  </si>
  <si>
    <t>2026E</t>
  </si>
  <si>
    <t>2027E</t>
  </si>
  <si>
    <t>2028E</t>
  </si>
  <si>
    <t>2029E</t>
  </si>
  <si>
    <t>2030E</t>
  </si>
  <si>
    <t>Revenue Growth</t>
  </si>
  <si>
    <t>COGS % Revenue</t>
  </si>
  <si>
    <t>OpEx % Revenue</t>
  </si>
  <si>
    <t>D&amp;A % Revenue</t>
  </si>
  <si>
    <t>Tax Rate</t>
  </si>
  <si>
    <t>DSO</t>
  </si>
  <si>
    <t>days</t>
  </si>
  <si>
    <t>Inventory % Revenue</t>
  </si>
  <si>
    <t>DPO</t>
  </si>
  <si>
    <t>Accrued Liab. % Revenue</t>
  </si>
  <si>
    <t>Other Current Assets % Revenue</t>
  </si>
  <si>
    <t>Other Assets % Revenue</t>
  </si>
  <si>
    <t>Other Liabilities % Revenue</t>
  </si>
  <si>
    <t>CapEx % Revenue</t>
  </si>
  <si>
    <t>Debt</t>
  </si>
  <si>
    <t>$mm</t>
  </si>
  <si>
    <t>Interest Rate</t>
  </si>
  <si>
    <t>Valuation Assumptions</t>
  </si>
  <si>
    <t>Risk-free Rate</t>
  </si>
  <si>
    <t>Equity Risk Premium</t>
  </si>
  <si>
    <t>Beta</t>
  </si>
  <si>
    <t>Pre-tax Cost of Debt</t>
  </si>
  <si>
    <t>Debt Weight</t>
  </si>
  <si>
    <t>Equity Weight</t>
  </si>
  <si>
    <t>Terminal Growth Rate</t>
  </si>
  <si>
    <t>Shares Outstanding</t>
  </si>
  <si>
    <t>$mm shares</t>
  </si>
  <si>
    <t>NovaTech Solutions — Historical Financial Data ($mm, except per-share data)</t>
  </si>
  <si>
    <t>Metric</t>
  </si>
  <si>
    <t>Revenue</t>
  </si>
  <si>
    <t>COGS</t>
  </si>
  <si>
    <t>Operating Expenses</t>
  </si>
  <si>
    <t>D&amp;A</t>
  </si>
  <si>
    <t>Interest Expense</t>
  </si>
  <si>
    <t>Cash</t>
  </si>
  <si>
    <t>Accounts Receivable</t>
  </si>
  <si>
    <t>Inventory</t>
  </si>
  <si>
    <t>Other Current Assets</t>
  </si>
  <si>
    <t>PP&amp;E, Net</t>
  </si>
  <si>
    <t>Other Assets</t>
  </si>
  <si>
    <t>Accounts Payable</t>
  </si>
  <si>
    <t>Accrued Liabilities</t>
  </si>
  <si>
    <t>Other Liabilities</t>
  </si>
  <si>
    <t>Share Capital</t>
  </si>
  <si>
    <t>Retained Earnings</t>
  </si>
  <si>
    <t>CapEx</t>
  </si>
  <si>
    <t>Revenue Build ($mm)</t>
  </si>
  <si>
    <t>Growth</t>
  </si>
  <si>
    <t>-</t>
  </si>
  <si>
    <t>Income Statement ($mm)</t>
  </si>
  <si>
    <t>Gross Profit</t>
  </si>
  <si>
    <t>EBITDA</t>
  </si>
  <si>
    <t>EBIT</t>
  </si>
  <si>
    <t>EBT</t>
  </si>
  <si>
    <t>Taxes</t>
  </si>
  <si>
    <t>Net Income</t>
  </si>
  <si>
    <t>Balance Sheet ($mm)</t>
  </si>
  <si>
    <t>Total Current Assets</t>
  </si>
  <si>
    <t>Total Assets</t>
  </si>
  <si>
    <t>Total Liabilities</t>
  </si>
  <si>
    <t>Total Equity</t>
  </si>
  <si>
    <t>Total Liabilities &amp; Equity</t>
  </si>
  <si>
    <t>Balance Check</t>
  </si>
  <si>
    <t>Cash Flow Statement ($mm)</t>
  </si>
  <si>
    <t>Change in A/R</t>
  </si>
  <si>
    <t>Change in Inventory</t>
  </si>
  <si>
    <t>Change in Other Current Assets</t>
  </si>
  <si>
    <t>Change in A/P</t>
  </si>
  <si>
    <t>Change in Accrued Liabilities</t>
  </si>
  <si>
    <t>Change in Other Assets</t>
  </si>
  <si>
    <t>Change in Other Liabilities</t>
  </si>
  <si>
    <t>Cash Flow from Operations</t>
  </si>
  <si>
    <t>Cash Flow from Investing</t>
  </si>
  <si>
    <t>Change in Debt</t>
  </si>
  <si>
    <t>Cash Flow from Financing</t>
  </si>
  <si>
    <t>Net Change in Cash</t>
  </si>
  <si>
    <t>Beginning Cash</t>
  </si>
  <si>
    <t>Ending Cash</t>
  </si>
  <si>
    <t>Supporting Schedules ($mm)</t>
  </si>
  <si>
    <t>DCF Valuation ($mm, except per-share data)</t>
  </si>
  <si>
    <t>NOPAT</t>
  </si>
  <si>
    <t>Change in NWC</t>
  </si>
  <si>
    <t>FCFF</t>
  </si>
  <si>
    <t>Discount Period</t>
  </si>
  <si>
    <t>Discount Factor</t>
  </si>
  <si>
    <t>PV of FCFF</t>
  </si>
  <si>
    <t>Valuation Summary</t>
  </si>
  <si>
    <t>Value</t>
  </si>
  <si>
    <t>WACC</t>
  </si>
  <si>
    <t>Terminal Value</t>
  </si>
  <si>
    <t>PV of Terminal Value</t>
  </si>
  <si>
    <t>PV of Forecast FCFF</t>
  </si>
  <si>
    <t>Enterprise Value</t>
  </si>
  <si>
    <t>Less: Debt</t>
  </si>
  <si>
    <t>Add: Cash</t>
  </si>
  <si>
    <t>Equity Value</t>
  </si>
  <si>
    <t>Shares Outstanding ($mm)</t>
  </si>
  <si>
    <t>Implied Value / Share</t>
  </si>
  <si>
    <t>DCF Sensitivity — Implied Value / Share ($)</t>
  </si>
  <si>
    <t>Terminal Growth / WACC</t>
  </si>
  <si>
    <t>NovaTech Solutions — Valuation &amp; Financial Dashboard</t>
  </si>
  <si>
    <t>Key KPI</t>
  </si>
  <si>
    <t>2025 Revenue ($mm)</t>
  </si>
  <si>
    <t>2030 Revenue ($mm)</t>
  </si>
  <si>
    <t>2030 EBITDA Margin</t>
  </si>
  <si>
    <t>Enterprise Value ($mm)</t>
  </si>
  <si>
    <t>Implied Value / Share ($)</t>
  </si>
  <si>
    <t>Rukmini KS — Illustrative IT Services Company (For demonstration)</t>
  </si>
  <si>
    <t>All data is fictional and created for demonstration / learning purposes.</t>
  </si>
  <si>
    <t xml:space="preserve"> Forecast &amp; Valuation Assumptions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</si>
</sst>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.0;[Red]\(#,##0.0\);\-"/>
    <numFmt numFmtId="165" formatCode="0.0%;[Red]\(0.0%\);\-"/>
    <numFmt numFmtId="166" formatCode="0.000\x"/>
    <numFmt numFmtId="167" formatCode="#,##0.0"/>
    <numFmt numFmtId="168" formatCode="\$#,##0.00;[Red]\(\$#,##0.00\);\-"/>
    <numFmt numFmtId="169" formatCode="\$#,##0.00"/>
  </numFmts>
  <fonts count="15">
    <font>
      <sz val="11"/>
      <name val="Carlito"/>
    </font>
    <font>
      <sz val="10"/>
      <color rgb="FF000000"/>
      <name val="Arial"/>
    </font>
    <font>
      <b/>
      <sz val="14"/>
      <color rgb="FFFFFFFF"/>
      <name val="Arial"/>
    </font>
    <font>
      <b/>
      <sz val="10"/>
      <color rgb="FFFFFFFF"/>
      <name val="Arial"/>
    </font>
    <font>
      <sz val="10"/>
      <color rgb="FF0000FF"/>
      <name val="Arial"/>
    </font>
    <font>
      <sz val="10"/>
      <color rgb="FF008000"/>
      <name val="Arial"/>
    </font>
    <font>
      <sz val="10"/>
      <color rgb="FF000000"/>
      <name val="Aptos"/>
      <family val="2"/>
    </font>
    <font>
      <sz val="11"/>
      <name val="Aptos"/>
      <family val="2"/>
    </font>
    <font>
      <b/>
      <sz val="16"/>
      <color rgb="FF17365D"/>
      <name val="Aptos"/>
      <family val="2"/>
    </font>
    <font>
      <i/>
      <sz val="11"/>
      <color indexed="19"/>
      <name val="Aptos"/>
      <family val="2"/>
    </font>
    <font>
      <i/>
      <sz val="11"/>
      <color rgb="FF000000"/>
      <name val="Aptos"/>
      <family val="2"/>
    </font>
    <font>
      <b/>
      <sz val="10"/>
      <color rgb="FFFFFFFF"/>
      <name val="Aptos"/>
      <family val="2"/>
    </font>
    <font>
      <b/>
      <sz val="10"/>
      <color rgb="FF000000"/>
      <name val="Aptos"/>
      <family val="2"/>
    </font>
    <font>
      <sz val="10"/>
      <name val="Aptos"/>
      <family val="2"/>
    </font>
    <font>
      <b/>
      <sz val="14"/>
      <color rgb="FFFFFF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2" borderId="0" xfId="0" applyFont="1" applyFill="1" applyAlignment="1">
      <alignment horizontal="left" vertical="center"/>
    </xf>
    <xf numFmtId="0" fontId="3" fillId="2" borderId="0" xfId="0" applyFont="1" applyFill="1"/>
    <xf numFmtId="0" fontId="3" fillId="2" borderId="0" xfId="0" applyFont="1" applyFill="1" applyAlignment="1">
      <alignment horizontal="right"/>
    </xf>
    <xf numFmtId="0" fontId="3" fillId="2" borderId="0" xfId="0" applyFont="1" applyFill="1" applyAlignment="1">
      <alignment horizontal="left"/>
    </xf>
    <xf numFmtId="164" fontId="1" fillId="0" borderId="0" xfId="0" applyNumberFormat="1" applyFont="1"/>
    <xf numFmtId="165" fontId="1" fillId="0" borderId="0" xfId="0" applyNumberFormat="1" applyFont="1"/>
    <xf numFmtId="165" fontId="4" fillId="3" borderId="0" xfId="0" applyNumberFormat="1" applyFont="1" applyFill="1"/>
    <xf numFmtId="0" fontId="4" fillId="3" borderId="0" xfId="0" applyFont="1" applyFill="1"/>
    <xf numFmtId="164" fontId="4" fillId="0" borderId="0" xfId="0" applyNumberFormat="1" applyFont="1"/>
    <xf numFmtId="164" fontId="5" fillId="0" borderId="0" xfId="0" applyNumberFormat="1" applyFont="1"/>
    <xf numFmtId="0" fontId="1" fillId="0" borderId="2" xfId="0" applyFont="1" applyBorder="1"/>
    <xf numFmtId="164" fontId="1" fillId="0" borderId="2" xfId="0" applyNumberFormat="1" applyFont="1" applyBorder="1"/>
    <xf numFmtId="164" fontId="5" fillId="0" borderId="2" xfId="0" applyNumberFormat="1" applyFont="1" applyBorder="1"/>
    <xf numFmtId="166" fontId="1" fillId="0" borderId="0" xfId="0" applyNumberFormat="1" applyFont="1"/>
    <xf numFmtId="168" fontId="1" fillId="0" borderId="2" xfId="0" applyNumberFormat="1" applyFont="1" applyBorder="1"/>
    <xf numFmtId="165" fontId="3" fillId="2" borderId="0" xfId="0" applyNumberFormat="1" applyFont="1" applyFill="1"/>
    <xf numFmtId="169" fontId="1" fillId="0" borderId="0" xfId="0" applyNumberFormat="1" applyFont="1"/>
    <xf numFmtId="167" fontId="1" fillId="0" borderId="2" xfId="0" applyNumberFormat="1" applyFont="1" applyBorder="1"/>
    <xf numFmtId="168" fontId="1" fillId="0" borderId="0" xfId="0" applyNumberFormat="1" applyFont="1"/>
    <xf numFmtId="0" fontId="2" fillId="2" borderId="0" xfId="0" applyFont="1" applyFill="1" applyAlignment="1">
      <alignment horizontal="left" vertical="center"/>
    </xf>
    <xf numFmtId="0" fontId="6" fillId="0" borderId="0" xfId="0" applyFont="1"/>
    <xf numFmtId="0" fontId="7" fillId="0" borderId="0" xfId="0" applyFont="1"/>
    <xf numFmtId="0" fontId="6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9" fillId="0" borderId="1" xfId="0" applyNumberFormat="1" applyFont="1" applyFill="1" applyBorder="1" applyAlignment="1" applyProtection="1"/>
    <xf numFmtId="0" fontId="10" fillId="0" borderId="0" xfId="0" applyFont="1" applyAlignment="1">
      <alignment horizontal="center"/>
    </xf>
    <xf numFmtId="0" fontId="11" fillId="2" borderId="0" xfId="0" applyFont="1" applyFill="1"/>
    <xf numFmtId="0" fontId="12" fillId="0" borderId="0" xfId="0" applyFont="1"/>
    <xf numFmtId="0" fontId="13" fillId="0" borderId="1" xfId="0" applyNumberFormat="1" applyFont="1" applyFill="1" applyBorder="1" applyAlignment="1" applyProtection="1"/>
    <xf numFmtId="0" fontId="8" fillId="0" borderId="0" xfId="0" applyFont="1" applyAlignment="1">
      <alignment horizontal="center"/>
    </xf>
    <xf numFmtId="0" fontId="14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IN"/>
              <a:t>Revenue &amp; EBITDA Forecast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Series 1</c:v>
          </c:tx>
          <c:marker>
            <c:symbol val="none"/>
          </c:marker>
          <c:cat>
            <c:strRef>
              <c:f>Dashboard!$A$11:$A$13</c:f>
              <c:strCache>
                <c:ptCount val="3"/>
                <c:pt idx="0">
                  <c:v>Metric</c:v>
                </c:pt>
                <c:pt idx="1">
                  <c:v>Revenue</c:v>
                </c:pt>
                <c:pt idx="2">
                  <c:v>EBITDA</c:v>
                </c:pt>
              </c:strCache>
            </c:strRef>
          </c:cat>
          <c:val>
            <c:numRef>
              <c:f>Dashboard!$B$11:$B$13</c:f>
              <c:numCache>
                <c:formatCode>#,##0.0;[Red]\(#,##0.0\);\-</c:formatCode>
                <c:ptCount val="3"/>
                <c:pt idx="0" formatCode="General">
                  <c:v>2026</c:v>
                </c:pt>
                <c:pt idx="1">
                  <c:v>285.00000000000006</c:v>
                </c:pt>
                <c:pt idx="2">
                  <c:v>82.65000000000002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C7F-4DD7-8997-A42B4AFD1C1E}"/>
            </c:ext>
          </c:extLst>
        </c:ser>
        <c:ser>
          <c:idx val="1"/>
          <c:order val="1"/>
          <c:tx>
            <c:v>Series 2</c:v>
          </c:tx>
          <c:marker>
            <c:symbol val="none"/>
          </c:marker>
          <c:cat>
            <c:strRef>
              <c:f>Dashboard!$A$11:$A$13</c:f>
              <c:strCache>
                <c:ptCount val="3"/>
                <c:pt idx="0">
                  <c:v>Metric</c:v>
                </c:pt>
                <c:pt idx="1">
                  <c:v>Revenue</c:v>
                </c:pt>
                <c:pt idx="2">
                  <c:v>EBITDA</c:v>
                </c:pt>
              </c:strCache>
            </c:strRef>
          </c:cat>
          <c:val>
            <c:numRef>
              <c:f>Dashboard!$C$11:$C$13</c:f>
              <c:numCache>
                <c:formatCode>#,##0.0;[Red]\(#,##0.0\);\-</c:formatCode>
                <c:ptCount val="3"/>
                <c:pt idx="0" formatCode="General">
                  <c:v>2027</c:v>
                </c:pt>
                <c:pt idx="1">
                  <c:v>319.2000000000001</c:v>
                </c:pt>
                <c:pt idx="2">
                  <c:v>98.952000000000027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C7F-4DD7-8997-A42B4AFD1C1E}"/>
            </c:ext>
          </c:extLst>
        </c:ser>
        <c:ser>
          <c:idx val="2"/>
          <c:order val="2"/>
          <c:tx>
            <c:v>Series 3</c:v>
          </c:tx>
          <c:marker>
            <c:symbol val="none"/>
          </c:marker>
          <c:cat>
            <c:strRef>
              <c:f>Dashboard!$A$11:$A$13</c:f>
              <c:strCache>
                <c:ptCount val="3"/>
                <c:pt idx="0">
                  <c:v>Metric</c:v>
                </c:pt>
                <c:pt idx="1">
                  <c:v>Revenue</c:v>
                </c:pt>
                <c:pt idx="2">
                  <c:v>EBITDA</c:v>
                </c:pt>
              </c:strCache>
            </c:strRef>
          </c:cat>
          <c:val>
            <c:numRef>
              <c:f>Dashboard!$D$11:$D$13</c:f>
              <c:numCache>
                <c:formatCode>#,##0.0;[Red]\(#,##0.0\);\-</c:formatCode>
                <c:ptCount val="3"/>
                <c:pt idx="0" formatCode="General">
                  <c:v>2028</c:v>
                </c:pt>
                <c:pt idx="1">
                  <c:v>351.12000000000012</c:v>
                </c:pt>
                <c:pt idx="2">
                  <c:v>115.86960000000002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C7F-4DD7-8997-A42B4AFD1C1E}"/>
            </c:ext>
          </c:extLst>
        </c:ser>
        <c:ser>
          <c:idx val="3"/>
          <c:order val="3"/>
          <c:tx>
            <c:v>Series 4</c:v>
          </c:tx>
          <c:marker>
            <c:symbol val="none"/>
          </c:marker>
          <c:cat>
            <c:strRef>
              <c:f>Dashboard!$A$11:$A$13</c:f>
              <c:strCache>
                <c:ptCount val="3"/>
                <c:pt idx="0">
                  <c:v>Metric</c:v>
                </c:pt>
                <c:pt idx="1">
                  <c:v>Revenue</c:v>
                </c:pt>
                <c:pt idx="2">
                  <c:v>EBITDA</c:v>
                </c:pt>
              </c:strCache>
            </c:strRef>
          </c:cat>
          <c:val>
            <c:numRef>
              <c:f>Dashboard!$E$11:$E$13</c:f>
              <c:numCache>
                <c:formatCode>#,##0.0;[Red]\(#,##0.0\);\-</c:formatCode>
                <c:ptCount val="3"/>
                <c:pt idx="0" formatCode="General">
                  <c:v>2029</c:v>
                </c:pt>
                <c:pt idx="1">
                  <c:v>382.72080000000017</c:v>
                </c:pt>
                <c:pt idx="2">
                  <c:v>130.12507200000005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C7F-4DD7-8997-A42B4AFD1C1E}"/>
            </c:ext>
          </c:extLst>
        </c:ser>
        <c:ser>
          <c:idx val="4"/>
          <c:order val="4"/>
          <c:tx>
            <c:v>Series 5</c:v>
          </c:tx>
          <c:marker>
            <c:symbol val="none"/>
          </c:marker>
          <c:cat>
            <c:strRef>
              <c:f>Dashboard!$A$11:$A$13</c:f>
              <c:strCache>
                <c:ptCount val="3"/>
                <c:pt idx="0">
                  <c:v>Metric</c:v>
                </c:pt>
                <c:pt idx="1">
                  <c:v>Revenue</c:v>
                </c:pt>
                <c:pt idx="2">
                  <c:v>EBITDA</c:v>
                </c:pt>
              </c:strCache>
            </c:strRef>
          </c:cat>
          <c:val>
            <c:numRef>
              <c:f>Dashboard!$F$11:$F$13</c:f>
              <c:numCache>
                <c:formatCode>#,##0.0;[Red]\(#,##0.0\);\-</c:formatCode>
                <c:ptCount val="3"/>
                <c:pt idx="0" formatCode="General">
                  <c:v>2030</c:v>
                </c:pt>
                <c:pt idx="1">
                  <c:v>413.33846400000022</c:v>
                </c:pt>
                <c:pt idx="2">
                  <c:v>148.80184704000007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BC7F-4DD7-8997-A42B4AFD1C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IN"/>
              <a:t>Forecast FCFF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invertIfNegative val="1"/>
          <c:cat>
            <c:strRef>
              <c:f>Dashboard!$A$11:$A$14</c:f>
              <c:strCache>
                <c:ptCount val="4"/>
                <c:pt idx="0">
                  <c:v>Metric</c:v>
                </c:pt>
                <c:pt idx="1">
                  <c:v>Revenue</c:v>
                </c:pt>
                <c:pt idx="2">
                  <c:v>EBITDA</c:v>
                </c:pt>
                <c:pt idx="3">
                  <c:v>FCFF</c:v>
                </c:pt>
              </c:strCache>
            </c:strRef>
          </c:cat>
          <c:val>
            <c:numRef>
              <c:f>Dashboard!$B$11:$B$14</c:f>
              <c:numCache>
                <c:formatCode>#,##0.0;[Red]\(#,##0.0\);\-</c:formatCode>
                <c:ptCount val="4"/>
                <c:pt idx="0" formatCode="General">
                  <c:v>2026</c:v>
                </c:pt>
                <c:pt idx="1">
                  <c:v>285.00000000000006</c:v>
                </c:pt>
                <c:pt idx="2">
                  <c:v>82.65000000000002</c:v>
                </c:pt>
                <c:pt idx="3">
                  <c:v>14.050993150684931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AC-422E-9DFC-FF9FC825E1B4}"/>
            </c:ext>
          </c:extLst>
        </c:ser>
        <c:ser>
          <c:idx val="1"/>
          <c:order val="1"/>
          <c:tx>
            <c:v>Series 2</c:v>
          </c:tx>
          <c:invertIfNegative val="1"/>
          <c:cat>
            <c:strRef>
              <c:f>Dashboard!$A$11:$A$14</c:f>
              <c:strCache>
                <c:ptCount val="4"/>
                <c:pt idx="0">
                  <c:v>Metric</c:v>
                </c:pt>
                <c:pt idx="1">
                  <c:v>Revenue</c:v>
                </c:pt>
                <c:pt idx="2">
                  <c:v>EBITDA</c:v>
                </c:pt>
                <c:pt idx="3">
                  <c:v>FCFF</c:v>
                </c:pt>
              </c:strCache>
            </c:strRef>
          </c:cat>
          <c:val>
            <c:numRef>
              <c:f>Dashboard!$C$11:$C$14</c:f>
              <c:numCache>
                <c:formatCode>#,##0.0;[Red]\(#,##0.0\);\-</c:formatCode>
                <c:ptCount val="4"/>
                <c:pt idx="0" formatCode="General">
                  <c:v>2027</c:v>
                </c:pt>
                <c:pt idx="1">
                  <c:v>319.2000000000001</c:v>
                </c:pt>
                <c:pt idx="2">
                  <c:v>98.952000000000027</c:v>
                </c:pt>
                <c:pt idx="3">
                  <c:v>29.090769863013715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AC-422E-9DFC-FF9FC825E1B4}"/>
            </c:ext>
          </c:extLst>
        </c:ser>
        <c:ser>
          <c:idx val="2"/>
          <c:order val="2"/>
          <c:tx>
            <c:v>Series 3</c:v>
          </c:tx>
          <c:invertIfNegative val="1"/>
          <c:cat>
            <c:strRef>
              <c:f>Dashboard!$A$11:$A$14</c:f>
              <c:strCache>
                <c:ptCount val="4"/>
                <c:pt idx="0">
                  <c:v>Metric</c:v>
                </c:pt>
                <c:pt idx="1">
                  <c:v>Revenue</c:v>
                </c:pt>
                <c:pt idx="2">
                  <c:v>EBITDA</c:v>
                </c:pt>
                <c:pt idx="3">
                  <c:v>FCFF</c:v>
                </c:pt>
              </c:strCache>
            </c:strRef>
          </c:cat>
          <c:val>
            <c:numRef>
              <c:f>Dashboard!$D$11:$D$14</c:f>
              <c:numCache>
                <c:formatCode>#,##0.0;[Red]\(#,##0.0\);\-</c:formatCode>
                <c:ptCount val="4"/>
                <c:pt idx="0" formatCode="General">
                  <c:v>2028</c:v>
                </c:pt>
                <c:pt idx="1">
                  <c:v>351.12000000000012</c:v>
                </c:pt>
                <c:pt idx="2">
                  <c:v>115.86960000000002</c:v>
                </c:pt>
                <c:pt idx="3">
                  <c:v>39.652292054794501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AC-422E-9DFC-FF9FC825E1B4}"/>
            </c:ext>
          </c:extLst>
        </c:ser>
        <c:ser>
          <c:idx val="3"/>
          <c:order val="3"/>
          <c:tx>
            <c:v>Series 4</c:v>
          </c:tx>
          <c:invertIfNegative val="1"/>
          <c:cat>
            <c:strRef>
              <c:f>Dashboard!$A$11:$A$14</c:f>
              <c:strCache>
                <c:ptCount val="4"/>
                <c:pt idx="0">
                  <c:v>Metric</c:v>
                </c:pt>
                <c:pt idx="1">
                  <c:v>Revenue</c:v>
                </c:pt>
                <c:pt idx="2">
                  <c:v>EBITDA</c:v>
                </c:pt>
                <c:pt idx="3">
                  <c:v>FCFF</c:v>
                </c:pt>
              </c:strCache>
            </c:strRef>
          </c:cat>
          <c:val>
            <c:numRef>
              <c:f>Dashboard!$E$11:$E$14</c:f>
              <c:numCache>
                <c:formatCode>#,##0.0;[Red]\(#,##0.0\);\-</c:formatCode>
                <c:ptCount val="4"/>
                <c:pt idx="0" formatCode="General">
                  <c:v>2029</c:v>
                </c:pt>
                <c:pt idx="1">
                  <c:v>382.72080000000017</c:v>
                </c:pt>
                <c:pt idx="2">
                  <c:v>130.12507200000005</c:v>
                </c:pt>
                <c:pt idx="3">
                  <c:v>48.13177009315072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AC-422E-9DFC-FF9FC825E1B4}"/>
            </c:ext>
          </c:extLst>
        </c:ser>
        <c:ser>
          <c:idx val="4"/>
          <c:order val="4"/>
          <c:tx>
            <c:v>Series 5</c:v>
          </c:tx>
          <c:invertIfNegative val="1"/>
          <c:cat>
            <c:strRef>
              <c:f>Dashboard!$A$11:$A$14</c:f>
              <c:strCache>
                <c:ptCount val="4"/>
                <c:pt idx="0">
                  <c:v>Metric</c:v>
                </c:pt>
                <c:pt idx="1">
                  <c:v>Revenue</c:v>
                </c:pt>
                <c:pt idx="2">
                  <c:v>EBITDA</c:v>
                </c:pt>
                <c:pt idx="3">
                  <c:v>FCFF</c:v>
                </c:pt>
              </c:strCache>
            </c:strRef>
          </c:cat>
          <c:val>
            <c:numRef>
              <c:f>Dashboard!$F$11:$F$14</c:f>
              <c:numCache>
                <c:formatCode>#,##0.0;[Red]\(#,##0.0\);\-</c:formatCode>
                <c:ptCount val="4"/>
                <c:pt idx="0" formatCode="General">
                  <c:v>2030</c:v>
                </c:pt>
                <c:pt idx="1">
                  <c:v>413.33846400000022</c:v>
                </c:pt>
                <c:pt idx="2">
                  <c:v>148.80184704000007</c:v>
                </c:pt>
                <c:pt idx="3">
                  <c:v>57.713667509917805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AC-422E-9DFC-FF9FC825E1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0</xdr:rowOff>
    </xdr:from>
    <xdr:to>
      <xdr:col>15</xdr:col>
      <xdr:colOff>0</xdr:colOff>
      <xdr:row>17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15</xdr:col>
      <xdr:colOff>0</xdr:colOff>
      <xdr:row>33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5"/>
  <sheetViews>
    <sheetView showGridLines="0" workbookViewId="0">
      <selection activeCell="B4" sqref="B4:H4"/>
    </sheetView>
  </sheetViews>
  <sheetFormatPr defaultRowHeight="14.4"/>
  <cols>
    <col min="1" max="1" width="9.3984375" style="24" customWidth="1"/>
    <col min="2" max="2" width="18.5" style="24" customWidth="1"/>
    <col min="3" max="15" width="13" style="24" customWidth="1"/>
    <col min="16" max="16384" width="8.796875" style="24"/>
  </cols>
  <sheetData>
    <row r="1" spans="1:15" ht="14.4" customHeight="1">
      <c r="A1" s="23"/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</row>
    <row r="2" spans="1:15" ht="14.4" customHeight="1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</row>
    <row r="3" spans="1:15" s="26" customFormat="1" ht="21">
      <c r="A3" s="25"/>
      <c r="B3" s="32" t="s">
        <v>0</v>
      </c>
      <c r="C3" s="32"/>
      <c r="D3" s="32"/>
      <c r="E3" s="32"/>
      <c r="F3" s="32"/>
      <c r="G3" s="32"/>
      <c r="H3" s="32"/>
      <c r="I3" s="25"/>
      <c r="J3" s="25"/>
      <c r="K3" s="25"/>
      <c r="L3" s="25"/>
      <c r="M3" s="25"/>
      <c r="N3" s="25"/>
      <c r="O3" s="25"/>
    </row>
    <row r="4" spans="1:15" ht="14.4" customHeight="1">
      <c r="A4" s="23"/>
      <c r="B4" s="28" t="s">
        <v>1</v>
      </c>
      <c r="C4" s="28"/>
      <c r="D4" s="28"/>
      <c r="E4" s="28"/>
      <c r="F4" s="28"/>
      <c r="G4" s="28"/>
      <c r="H4" s="28"/>
      <c r="I4" s="23"/>
      <c r="J4" s="23"/>
      <c r="K4" s="23"/>
      <c r="L4" s="23"/>
      <c r="M4" s="23"/>
      <c r="N4" s="23"/>
      <c r="O4" s="23"/>
    </row>
    <row r="5" spans="1:15" ht="14.4" customHeight="1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</row>
    <row r="6" spans="1:15" ht="14.4" customHeight="1">
      <c r="A6" s="23"/>
      <c r="B6" s="27" t="s">
        <v>120</v>
      </c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</row>
    <row r="7" spans="1:15" ht="14.4" customHeight="1">
      <c r="A7" s="23"/>
      <c r="B7" s="29" t="s">
        <v>2</v>
      </c>
      <c r="C7" s="29"/>
      <c r="D7" s="29"/>
      <c r="E7" s="29"/>
      <c r="F7" s="29"/>
      <c r="G7" s="29"/>
      <c r="H7" s="29"/>
      <c r="I7" s="23"/>
      <c r="J7" s="23"/>
      <c r="K7" s="23"/>
      <c r="L7" s="23"/>
      <c r="M7" s="23"/>
      <c r="N7" s="23"/>
      <c r="O7" s="23"/>
    </row>
    <row r="8" spans="1:15" ht="14.4" customHeight="1">
      <c r="A8" s="23"/>
      <c r="B8" s="23" t="s">
        <v>3</v>
      </c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</row>
    <row r="9" spans="1:15" ht="14.4" customHeight="1">
      <c r="A9" s="23"/>
      <c r="B9" s="23" t="s">
        <v>4</v>
      </c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15" ht="14.4" customHeight="1">
      <c r="A10" s="23"/>
      <c r="B10" s="23" t="s">
        <v>5</v>
      </c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</row>
    <row r="11" spans="1:15" ht="14.4" customHeight="1">
      <c r="A11" s="23"/>
      <c r="B11" s="23" t="s">
        <v>6</v>
      </c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</row>
    <row r="12" spans="1:15" ht="14.4" customHeight="1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</row>
    <row r="13" spans="1:15" ht="14.4" customHeight="1">
      <c r="A13" s="23"/>
      <c r="B13" s="30" t="s">
        <v>121</v>
      </c>
      <c r="C13" s="31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</row>
    <row r="14" spans="1:15" ht="14.4" customHeight="1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</row>
    <row r="15" spans="1:15" ht="14.4" customHeight="1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</row>
    <row r="16" spans="1:15" ht="14.4" customHeight="1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</row>
    <row r="17" spans="1:15" ht="14.4" customHeight="1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</row>
    <row r="18" spans="1:15" ht="14.4" customHeight="1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</row>
    <row r="19" spans="1:15" ht="14.4" customHeight="1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spans="1:15" ht="14.4" customHeight="1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</row>
    <row r="21" spans="1:15" ht="14.4" customHeight="1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</row>
    <row r="22" spans="1:15" ht="14.4" customHeight="1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</row>
    <row r="23" spans="1:15" ht="14.4" customHeight="1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</row>
    <row r="24" spans="1:15" ht="14.4" customHeight="1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</row>
    <row r="25" spans="1:15" ht="14.4" customHeight="1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</row>
  </sheetData>
  <mergeCells count="2">
    <mergeCell ref="B3:H3"/>
    <mergeCell ref="B4:H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"/>
  <sheetViews>
    <sheetView topLeftCell="A7" workbookViewId="0">
      <selection activeCell="B26" sqref="B26"/>
    </sheetView>
  </sheetViews>
  <sheetFormatPr defaultRowHeight="13.8"/>
  <cols>
    <col min="1" max="1" width="30" customWidth="1"/>
    <col min="2" max="15" width="13" customWidth="1"/>
  </cols>
  <sheetData>
    <row r="1" spans="1:15" ht="20.85" customHeight="1">
      <c r="A1" s="33" t="s">
        <v>122</v>
      </c>
      <c r="B1" s="22"/>
      <c r="C1" s="22"/>
      <c r="D1" s="22"/>
      <c r="E1" s="22"/>
      <c r="F1" s="22"/>
      <c r="G1" s="22"/>
      <c r="H1" s="22"/>
      <c r="I1" s="3"/>
      <c r="J1" s="1"/>
      <c r="K1" s="1"/>
      <c r="L1" s="1"/>
      <c r="M1" s="1"/>
      <c r="N1" s="1"/>
      <c r="O1" s="1"/>
    </row>
    <row r="2" spans="1:15" ht="14.4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14.4" customHeight="1">
      <c r="A3" s="4" t="s">
        <v>7</v>
      </c>
      <c r="B3" s="4" t="s">
        <v>8</v>
      </c>
      <c r="C3" s="4" t="s">
        <v>9</v>
      </c>
      <c r="D3" s="4" t="s">
        <v>10</v>
      </c>
      <c r="E3" s="4" t="s">
        <v>11</v>
      </c>
      <c r="F3" s="4" t="s">
        <v>12</v>
      </c>
      <c r="G3" s="4"/>
      <c r="H3" s="4"/>
      <c r="I3" s="1"/>
      <c r="J3" s="1"/>
      <c r="K3" s="1"/>
      <c r="L3" s="1"/>
      <c r="M3" s="1"/>
      <c r="N3" s="1"/>
      <c r="O3" s="1"/>
    </row>
    <row r="4" spans="1:15" ht="14.4" customHeight="1">
      <c r="A4" s="1" t="s">
        <v>13</v>
      </c>
      <c r="B4" s="9">
        <v>0.14000000000000001</v>
      </c>
      <c r="C4" s="9">
        <v>0.12</v>
      </c>
      <c r="D4" s="9">
        <v>0.1</v>
      </c>
      <c r="E4" s="9">
        <v>0.09</v>
      </c>
      <c r="F4" s="9">
        <v>0.08</v>
      </c>
      <c r="G4" s="1"/>
      <c r="H4" s="1"/>
      <c r="I4" s="1"/>
      <c r="J4" s="1"/>
      <c r="K4" s="1"/>
      <c r="L4" s="1"/>
      <c r="M4" s="1"/>
      <c r="N4" s="1"/>
      <c r="O4" s="1"/>
    </row>
    <row r="5" spans="1:15" ht="14.4" customHeight="1">
      <c r="A5" s="1" t="s">
        <v>14</v>
      </c>
      <c r="B5" s="9">
        <v>0.37</v>
      </c>
      <c r="C5" s="9">
        <v>0.36</v>
      </c>
      <c r="D5" s="9">
        <v>0.35</v>
      </c>
      <c r="E5" s="9">
        <v>0.35</v>
      </c>
      <c r="F5" s="9">
        <v>0.34</v>
      </c>
      <c r="G5" s="1"/>
      <c r="H5" s="1"/>
      <c r="I5" s="1"/>
      <c r="J5" s="1"/>
      <c r="K5" s="1"/>
      <c r="L5" s="1"/>
      <c r="M5" s="1"/>
      <c r="N5" s="1"/>
      <c r="O5" s="1"/>
    </row>
    <row r="6" spans="1:15" ht="14.4" customHeight="1">
      <c r="A6" s="1" t="s">
        <v>15</v>
      </c>
      <c r="B6" s="9">
        <v>0.34</v>
      </c>
      <c r="C6" s="9">
        <v>0.33</v>
      </c>
      <c r="D6" s="9">
        <v>0.32</v>
      </c>
      <c r="E6" s="9">
        <v>0.31</v>
      </c>
      <c r="F6" s="9">
        <v>0.3</v>
      </c>
      <c r="G6" s="1"/>
      <c r="H6" s="1"/>
      <c r="I6" s="1"/>
      <c r="J6" s="1"/>
      <c r="K6" s="1"/>
      <c r="L6" s="1"/>
      <c r="M6" s="1"/>
      <c r="N6" s="1"/>
      <c r="O6" s="1"/>
    </row>
    <row r="7" spans="1:15" ht="14.4" customHeight="1">
      <c r="A7" s="1" t="s">
        <v>16</v>
      </c>
      <c r="B7" s="9">
        <v>0.04</v>
      </c>
      <c r="C7" s="9">
        <v>0.04</v>
      </c>
      <c r="D7" s="9">
        <v>0.04</v>
      </c>
      <c r="E7" s="9">
        <v>0.04</v>
      </c>
      <c r="F7" s="9">
        <v>0.04</v>
      </c>
      <c r="G7" s="1"/>
      <c r="H7" s="1"/>
      <c r="I7" s="1"/>
      <c r="J7" s="1"/>
      <c r="K7" s="1"/>
      <c r="L7" s="1"/>
      <c r="M7" s="1"/>
      <c r="N7" s="1"/>
      <c r="O7" s="1"/>
    </row>
    <row r="8" spans="1:15" ht="14.4" customHeight="1">
      <c r="A8" s="1" t="s">
        <v>17</v>
      </c>
      <c r="B8" s="9">
        <v>0.25</v>
      </c>
      <c r="C8" s="9">
        <v>0.25</v>
      </c>
      <c r="D8" s="9">
        <v>0.25</v>
      </c>
      <c r="E8" s="9">
        <v>0.25</v>
      </c>
      <c r="F8" s="9">
        <v>0.25</v>
      </c>
      <c r="G8" s="1"/>
      <c r="H8" s="1"/>
      <c r="I8" s="1"/>
      <c r="J8" s="1"/>
      <c r="K8" s="1"/>
      <c r="L8" s="1"/>
      <c r="M8" s="1"/>
      <c r="N8" s="1"/>
      <c r="O8" s="1"/>
    </row>
    <row r="9" spans="1:15" ht="14.4" customHeight="1">
      <c r="A9" s="1" t="s">
        <v>18</v>
      </c>
      <c r="B9" s="10">
        <v>60</v>
      </c>
      <c r="C9" s="10">
        <v>58</v>
      </c>
      <c r="D9" s="10">
        <v>56</v>
      </c>
      <c r="E9" s="10">
        <v>55</v>
      </c>
      <c r="F9" s="10">
        <v>54</v>
      </c>
      <c r="G9" s="1" t="s">
        <v>19</v>
      </c>
      <c r="H9" s="1"/>
      <c r="I9" s="1"/>
      <c r="J9" s="1"/>
      <c r="K9" s="1"/>
      <c r="L9" s="1"/>
      <c r="M9" s="1"/>
      <c r="N9" s="1"/>
      <c r="O9" s="1"/>
    </row>
    <row r="10" spans="1:15" ht="14.4" customHeight="1">
      <c r="A10" s="1" t="s">
        <v>20</v>
      </c>
      <c r="B10" s="9">
        <v>0.04</v>
      </c>
      <c r="C10" s="9">
        <v>0.04</v>
      </c>
      <c r="D10" s="9">
        <v>0.04</v>
      </c>
      <c r="E10" s="9">
        <v>0.04</v>
      </c>
      <c r="F10" s="9">
        <v>0.04</v>
      </c>
      <c r="G10" s="1"/>
      <c r="H10" s="1"/>
      <c r="I10" s="1"/>
      <c r="J10" s="1"/>
      <c r="K10" s="1"/>
      <c r="L10" s="1"/>
      <c r="M10" s="1"/>
      <c r="N10" s="1"/>
      <c r="O10" s="1"/>
    </row>
    <row r="11" spans="1:15" ht="14.4" customHeight="1">
      <c r="A11" s="1" t="s">
        <v>21</v>
      </c>
      <c r="B11" s="10">
        <v>75</v>
      </c>
      <c r="C11" s="10">
        <v>75</v>
      </c>
      <c r="D11" s="10">
        <v>75</v>
      </c>
      <c r="E11" s="10">
        <v>75</v>
      </c>
      <c r="F11" s="10">
        <v>75</v>
      </c>
      <c r="G11" s="1" t="s">
        <v>19</v>
      </c>
      <c r="H11" s="1"/>
      <c r="I11" s="1"/>
      <c r="J11" s="1"/>
      <c r="K11" s="1"/>
      <c r="L11" s="1"/>
      <c r="M11" s="1"/>
      <c r="N11" s="1"/>
      <c r="O11" s="1"/>
    </row>
    <row r="12" spans="1:15" ht="14.4" customHeight="1">
      <c r="A12" s="1" t="s">
        <v>22</v>
      </c>
      <c r="B12" s="9">
        <v>6.5000000000000002E-2</v>
      </c>
      <c r="C12" s="9">
        <v>6.5000000000000002E-2</v>
      </c>
      <c r="D12" s="9">
        <v>6.5000000000000002E-2</v>
      </c>
      <c r="E12" s="9">
        <v>6.5000000000000002E-2</v>
      </c>
      <c r="F12" s="9">
        <v>6.5000000000000002E-2</v>
      </c>
      <c r="G12" s="1"/>
      <c r="H12" s="1"/>
      <c r="I12" s="1"/>
      <c r="J12" s="1"/>
      <c r="K12" s="1"/>
      <c r="L12" s="1"/>
      <c r="M12" s="1"/>
      <c r="N12" s="1"/>
      <c r="O12" s="1"/>
    </row>
    <row r="13" spans="1:15" ht="14.4" customHeight="1">
      <c r="A13" s="1" t="s">
        <v>23</v>
      </c>
      <c r="B13" s="9">
        <v>2.8000000000000001E-2</v>
      </c>
      <c r="C13" s="9">
        <v>2.8000000000000001E-2</v>
      </c>
      <c r="D13" s="9">
        <v>2.8000000000000001E-2</v>
      </c>
      <c r="E13" s="9">
        <v>2.8000000000000001E-2</v>
      </c>
      <c r="F13" s="9">
        <v>2.8000000000000001E-2</v>
      </c>
      <c r="G13" s="1"/>
      <c r="H13" s="1"/>
      <c r="I13" s="1"/>
      <c r="J13" s="1"/>
      <c r="K13" s="1"/>
      <c r="L13" s="1"/>
      <c r="M13" s="1"/>
      <c r="N13" s="1"/>
      <c r="O13" s="1"/>
    </row>
    <row r="14" spans="1:15" ht="14.4" customHeight="1">
      <c r="A14" s="1" t="s">
        <v>24</v>
      </c>
      <c r="B14" s="9">
        <v>4.4999999999999998E-2</v>
      </c>
      <c r="C14" s="9">
        <v>4.4999999999999998E-2</v>
      </c>
      <c r="D14" s="9">
        <v>4.4999999999999998E-2</v>
      </c>
      <c r="E14" s="9">
        <v>4.4999999999999998E-2</v>
      </c>
      <c r="F14" s="9">
        <v>4.4999999999999998E-2</v>
      </c>
      <c r="G14" s="1"/>
      <c r="H14" s="1"/>
      <c r="I14" s="1"/>
      <c r="J14" s="1"/>
      <c r="K14" s="1"/>
      <c r="L14" s="1"/>
      <c r="M14" s="1"/>
      <c r="N14" s="1"/>
      <c r="O14" s="1"/>
    </row>
    <row r="15" spans="1:15" ht="14.4" customHeight="1">
      <c r="A15" s="1" t="s">
        <v>25</v>
      </c>
      <c r="B15" s="9">
        <v>3.5000000000000003E-2</v>
      </c>
      <c r="C15" s="9">
        <v>3.5000000000000003E-2</v>
      </c>
      <c r="D15" s="9">
        <v>3.5000000000000003E-2</v>
      </c>
      <c r="E15" s="9">
        <v>3.5000000000000003E-2</v>
      </c>
      <c r="F15" s="9">
        <v>3.5000000000000003E-2</v>
      </c>
      <c r="G15" s="1"/>
      <c r="H15" s="1"/>
      <c r="I15" s="1"/>
      <c r="J15" s="1"/>
      <c r="K15" s="1"/>
      <c r="L15" s="1"/>
      <c r="M15" s="1"/>
      <c r="N15" s="1"/>
      <c r="O15" s="1"/>
    </row>
    <row r="16" spans="1:15" ht="14.4" customHeight="1">
      <c r="A16" s="1" t="s">
        <v>26</v>
      </c>
      <c r="B16" s="9">
        <v>6.5000000000000002E-2</v>
      </c>
      <c r="C16" s="9">
        <v>0.06</v>
      </c>
      <c r="D16" s="9">
        <v>5.5E-2</v>
      </c>
      <c r="E16" s="9">
        <v>0.05</v>
      </c>
      <c r="F16" s="9">
        <v>0.05</v>
      </c>
      <c r="G16" s="1"/>
      <c r="H16" s="1"/>
      <c r="I16" s="1"/>
      <c r="J16" s="1"/>
      <c r="K16" s="1"/>
      <c r="L16" s="1"/>
      <c r="M16" s="1"/>
      <c r="N16" s="1"/>
      <c r="O16" s="1"/>
    </row>
    <row r="17" spans="1:15" ht="14.4" customHeight="1">
      <c r="A17" s="1" t="s">
        <v>27</v>
      </c>
      <c r="B17" s="10">
        <v>42</v>
      </c>
      <c r="C17" s="10">
        <v>40</v>
      </c>
      <c r="D17" s="10">
        <v>37</v>
      </c>
      <c r="E17" s="10">
        <v>33</v>
      </c>
      <c r="F17" s="10">
        <v>28</v>
      </c>
      <c r="G17" s="1" t="s">
        <v>28</v>
      </c>
      <c r="H17" s="1"/>
      <c r="I17" s="1"/>
      <c r="J17" s="1"/>
      <c r="K17" s="1"/>
      <c r="L17" s="1"/>
      <c r="M17" s="1"/>
      <c r="N17" s="1"/>
      <c r="O17" s="1"/>
    </row>
    <row r="18" spans="1:15" ht="14.4" customHeight="1">
      <c r="A18" s="1" t="s">
        <v>29</v>
      </c>
      <c r="B18" s="9">
        <v>0.09</v>
      </c>
      <c r="C18" s="9">
        <v>0.09</v>
      </c>
      <c r="D18" s="9">
        <v>0.09</v>
      </c>
      <c r="E18" s="9">
        <v>0.09</v>
      </c>
      <c r="F18" s="9">
        <v>0.09</v>
      </c>
      <c r="G18" s="1"/>
      <c r="H18" s="1"/>
      <c r="I18" s="1"/>
      <c r="J18" s="1"/>
      <c r="K18" s="1"/>
      <c r="L18" s="1"/>
      <c r="M18" s="1"/>
      <c r="N18" s="1"/>
      <c r="O18" s="1"/>
    </row>
    <row r="19" spans="1:15" ht="14.4" customHeight="1">
      <c r="A19" s="1" t="s">
        <v>30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14.4" customHeight="1">
      <c r="A20" s="4" t="s">
        <v>31</v>
      </c>
      <c r="B20" s="4">
        <v>4.2000000000000003E-2</v>
      </c>
      <c r="C20" s="4"/>
      <c r="D20" s="4"/>
      <c r="E20" s="4"/>
      <c r="F20" s="4"/>
      <c r="G20" s="4"/>
      <c r="H20" s="4"/>
      <c r="I20" s="1"/>
      <c r="J20" s="1"/>
      <c r="K20" s="1"/>
      <c r="L20" s="1"/>
      <c r="M20" s="1"/>
      <c r="N20" s="1"/>
      <c r="O20" s="1"/>
    </row>
    <row r="21" spans="1:15" ht="14.4" customHeight="1">
      <c r="A21" s="1" t="s">
        <v>32</v>
      </c>
      <c r="B21" s="9">
        <v>5.5E-2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14.4" customHeight="1">
      <c r="A22" s="1" t="s">
        <v>33</v>
      </c>
      <c r="B22" s="9">
        <v>1.1499999999999999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14.4" customHeight="1">
      <c r="A23" s="1" t="s">
        <v>34</v>
      </c>
      <c r="B23" s="9">
        <v>0.09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14.4" customHeight="1">
      <c r="A24" s="1" t="s">
        <v>35</v>
      </c>
      <c r="B24" s="9">
        <v>0.15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14.4" customHeight="1">
      <c r="A25" s="1" t="s">
        <v>36</v>
      </c>
      <c r="B25" s="9">
        <v>0.85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14.4" customHeight="1">
      <c r="A26" s="1" t="s">
        <v>37</v>
      </c>
      <c r="B26" s="10">
        <v>0.03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14.4" customHeight="1">
      <c r="A27" s="1" t="s">
        <v>38</v>
      </c>
      <c r="B27" s="10">
        <v>25</v>
      </c>
      <c r="C27" s="1" t="s">
        <v>39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14.4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14.4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14.4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14.4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14.4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14.4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14.4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14.4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14.4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14.4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14.4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14.4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14.4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</sheetData>
  <mergeCells count="1">
    <mergeCell ref="A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40"/>
  <sheetViews>
    <sheetView workbookViewId="0">
      <selection activeCell="B11" sqref="B11:F11"/>
    </sheetView>
  </sheetViews>
  <sheetFormatPr defaultRowHeight="13.8"/>
  <cols>
    <col min="1" max="1" width="30" customWidth="1"/>
    <col min="2" max="15" width="13" customWidth="1"/>
  </cols>
  <sheetData>
    <row r="1" spans="1:15" ht="20.85" customHeight="1">
      <c r="A1" s="22" t="s">
        <v>40</v>
      </c>
      <c r="B1" s="22"/>
      <c r="C1" s="22"/>
      <c r="D1" s="22"/>
      <c r="E1" s="3"/>
      <c r="F1" s="3"/>
      <c r="G1" s="3"/>
      <c r="H1" s="3"/>
      <c r="I1" s="3"/>
      <c r="J1" s="1"/>
      <c r="K1" s="1"/>
      <c r="L1" s="1"/>
      <c r="M1" s="1"/>
      <c r="N1" s="1"/>
      <c r="O1" s="1"/>
    </row>
    <row r="2" spans="1:15" ht="14.4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14.4" customHeight="1">
      <c r="A3" s="4" t="s">
        <v>41</v>
      </c>
      <c r="B3" s="4">
        <v>2023</v>
      </c>
      <c r="C3" s="4">
        <v>2024</v>
      </c>
      <c r="D3" s="4">
        <v>2025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4.4" customHeight="1">
      <c r="A4" s="1" t="s">
        <v>42</v>
      </c>
      <c r="B4" s="11">
        <v>180</v>
      </c>
      <c r="C4" s="11">
        <v>210</v>
      </c>
      <c r="D4" s="11">
        <v>250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14.4" customHeight="1">
      <c r="A5" s="1" t="s">
        <v>43</v>
      </c>
      <c r="B5" s="11">
        <v>-72</v>
      </c>
      <c r="C5" s="11">
        <v>-82</v>
      </c>
      <c r="D5" s="11">
        <v>-95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14.4" customHeight="1">
      <c r="A6" s="1" t="s">
        <v>44</v>
      </c>
      <c r="B6" s="11">
        <v>-70</v>
      </c>
      <c r="C6" s="11">
        <v>-78</v>
      </c>
      <c r="D6" s="11">
        <v>-88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14.4" customHeight="1">
      <c r="A7" s="1" t="s">
        <v>45</v>
      </c>
      <c r="B7" s="11">
        <v>-8</v>
      </c>
      <c r="C7" s="11">
        <v>-9</v>
      </c>
      <c r="D7" s="11">
        <v>-10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14.4" customHeight="1">
      <c r="A8" s="1" t="s">
        <v>46</v>
      </c>
      <c r="B8" s="11">
        <v>-3</v>
      </c>
      <c r="C8" s="11">
        <v>-3</v>
      </c>
      <c r="D8" s="11">
        <v>-4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14.4" customHeight="1">
      <c r="A9" s="1" t="s">
        <v>17</v>
      </c>
      <c r="B9" s="11">
        <v>0.25</v>
      </c>
      <c r="C9" s="11">
        <v>0.25</v>
      </c>
      <c r="D9" s="11">
        <v>0.25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14.4" customHeight="1">
      <c r="A10" s="1" t="s">
        <v>47</v>
      </c>
      <c r="B10" s="11">
        <v>18</v>
      </c>
      <c r="C10" s="11">
        <v>22</v>
      </c>
      <c r="D10" s="11">
        <v>28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14.4" customHeight="1">
      <c r="A11" s="1" t="s">
        <v>48</v>
      </c>
      <c r="B11" s="11">
        <v>30</v>
      </c>
      <c r="C11" s="11">
        <v>35</v>
      </c>
      <c r="D11" s="11">
        <v>42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14.4" customHeight="1">
      <c r="A12" s="1" t="s">
        <v>49</v>
      </c>
      <c r="B12" s="11">
        <v>8</v>
      </c>
      <c r="C12" s="11">
        <v>9</v>
      </c>
      <c r="D12" s="11">
        <v>10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14.4" customHeight="1">
      <c r="A13" s="1" t="s">
        <v>50</v>
      </c>
      <c r="B13" s="11">
        <v>5</v>
      </c>
      <c r="C13" s="11">
        <v>6</v>
      </c>
      <c r="D13" s="11">
        <v>7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14.4" customHeight="1">
      <c r="A14" s="1" t="s">
        <v>51</v>
      </c>
      <c r="B14" s="11">
        <v>45</v>
      </c>
      <c r="C14" s="11">
        <v>50</v>
      </c>
      <c r="D14" s="11">
        <v>57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14.4" customHeight="1">
      <c r="A15" s="1" t="s">
        <v>52</v>
      </c>
      <c r="B15" s="11">
        <v>9</v>
      </c>
      <c r="C15" s="11">
        <v>10</v>
      </c>
      <c r="D15" s="11">
        <v>11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14.4" customHeight="1">
      <c r="A16" s="1" t="s">
        <v>53</v>
      </c>
      <c r="B16" s="11">
        <v>18</v>
      </c>
      <c r="C16" s="11">
        <v>21</v>
      </c>
      <c r="D16" s="11">
        <v>25</v>
      </c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14.4" customHeight="1">
      <c r="A17" s="1" t="s">
        <v>54</v>
      </c>
      <c r="B17" s="11">
        <v>12</v>
      </c>
      <c r="C17" s="11">
        <v>14</v>
      </c>
      <c r="D17" s="11">
        <v>16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14.4" customHeight="1">
      <c r="A18" s="1" t="s">
        <v>27</v>
      </c>
      <c r="B18" s="11">
        <v>35</v>
      </c>
      <c r="C18" s="11">
        <v>38</v>
      </c>
      <c r="D18" s="11">
        <v>42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14.4" customHeight="1">
      <c r="A19" s="1" t="s">
        <v>55</v>
      </c>
      <c r="B19" s="11">
        <v>7</v>
      </c>
      <c r="C19" s="11">
        <v>8</v>
      </c>
      <c r="D19" s="11">
        <v>9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14.4" customHeight="1">
      <c r="A20" s="1" t="s">
        <v>56</v>
      </c>
      <c r="B20" s="11">
        <v>40</v>
      </c>
      <c r="C20" s="11">
        <v>40</v>
      </c>
      <c r="D20" s="11">
        <v>40</v>
      </c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14.4" customHeight="1">
      <c r="A21" s="1" t="s">
        <v>57</v>
      </c>
      <c r="B21" s="11">
        <v>3</v>
      </c>
      <c r="C21" s="11">
        <v>11</v>
      </c>
      <c r="D21" s="11">
        <v>23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14.4" customHeight="1">
      <c r="A22" s="1" t="s">
        <v>58</v>
      </c>
      <c r="B22" s="11">
        <v>-12</v>
      </c>
      <c r="C22" s="11">
        <v>-14</v>
      </c>
      <c r="D22" s="11">
        <v>-17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14.4" customHeight="1">
      <c r="A23" s="1"/>
      <c r="B23" s="11"/>
      <c r="C23" s="11"/>
      <c r="D23" s="1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14.4" customHeight="1">
      <c r="A24" s="1"/>
      <c r="B24" s="11"/>
      <c r="C24" s="11"/>
      <c r="D24" s="1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14.4" customHeight="1">
      <c r="A25" s="1"/>
      <c r="B25" s="11"/>
      <c r="C25" s="11"/>
      <c r="D25" s="1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14.4" customHeight="1">
      <c r="A26" s="1"/>
      <c r="B26" s="11"/>
      <c r="C26" s="11"/>
      <c r="D26" s="1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14.4" customHeight="1">
      <c r="A27" s="1"/>
      <c r="B27" s="11"/>
      <c r="C27" s="11"/>
      <c r="D27" s="1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14.4" customHeight="1">
      <c r="A28" s="1"/>
      <c r="B28" s="11"/>
      <c r="C28" s="11"/>
      <c r="D28" s="1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14.4" customHeight="1">
      <c r="A29" s="1"/>
      <c r="B29" s="11"/>
      <c r="C29" s="11"/>
      <c r="D29" s="1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14.4" customHeight="1">
      <c r="A30" s="1"/>
      <c r="B30" s="11"/>
      <c r="C30" s="11"/>
      <c r="D30" s="1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14.4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14.4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14.4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14.4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14.4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14.4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14.4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14.4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14.4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14.4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</sheetData>
  <mergeCells count="1">
    <mergeCell ref="A1:D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40"/>
  <sheetViews>
    <sheetView workbookViewId="0">
      <selection activeCell="C5" sqref="C5"/>
    </sheetView>
  </sheetViews>
  <sheetFormatPr defaultRowHeight="13.8"/>
  <cols>
    <col min="1" max="1" width="30" customWidth="1"/>
    <col min="2" max="15" width="13" customWidth="1"/>
  </cols>
  <sheetData>
    <row r="1" spans="1:15" ht="20.85" customHeight="1">
      <c r="A1" s="22" t="s">
        <v>59</v>
      </c>
      <c r="B1" s="22"/>
      <c r="C1" s="22"/>
      <c r="D1" s="22"/>
      <c r="E1" s="22"/>
      <c r="F1" s="22"/>
      <c r="G1" s="22"/>
      <c r="H1" s="22"/>
      <c r="I1" s="22"/>
      <c r="J1" s="1"/>
      <c r="K1" s="1"/>
      <c r="L1" s="1"/>
      <c r="M1" s="1"/>
      <c r="N1" s="1"/>
      <c r="O1" s="1"/>
    </row>
    <row r="2" spans="1:15" ht="14.4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14.4" customHeight="1">
      <c r="A3" s="6" t="s">
        <v>41</v>
      </c>
      <c r="B3" s="5">
        <v>2023</v>
      </c>
      <c r="C3" s="5">
        <v>2024</v>
      </c>
      <c r="D3" s="5">
        <v>2025</v>
      </c>
      <c r="E3" s="5">
        <v>2026</v>
      </c>
      <c r="F3" s="5">
        <v>2027</v>
      </c>
      <c r="G3" s="5">
        <v>2028</v>
      </c>
      <c r="H3" s="5">
        <v>2029</v>
      </c>
      <c r="I3" s="5">
        <v>2030</v>
      </c>
      <c r="J3" s="1"/>
      <c r="K3" s="1"/>
      <c r="L3" s="1"/>
      <c r="M3" s="1"/>
      <c r="N3" s="1"/>
      <c r="O3" s="1"/>
    </row>
    <row r="4" spans="1:15" ht="14.4" customHeight="1">
      <c r="A4" s="1" t="s">
        <v>42</v>
      </c>
      <c r="B4" s="7">
        <v>180</v>
      </c>
      <c r="C4" s="7">
        <v>210</v>
      </c>
      <c r="D4" s="7">
        <v>250</v>
      </c>
      <c r="E4" s="7">
        <f>D4*(1+E5)</f>
        <v>285.00000000000006</v>
      </c>
      <c r="F4" s="7">
        <f>E4*(1+F5)</f>
        <v>319.2000000000001</v>
      </c>
      <c r="G4" s="7">
        <f>F4*(1+G5)</f>
        <v>351.12000000000012</v>
      </c>
      <c r="H4" s="7">
        <f>G4*(1+H5)</f>
        <v>382.72080000000017</v>
      </c>
      <c r="I4" s="7">
        <f>H4*(1+I5)</f>
        <v>413.33846400000022</v>
      </c>
      <c r="J4" s="1"/>
      <c r="K4" s="1"/>
      <c r="L4" s="1"/>
      <c r="M4" s="1"/>
      <c r="N4" s="1"/>
      <c r="O4" s="1"/>
    </row>
    <row r="5" spans="1:15" ht="14.4" customHeight="1">
      <c r="A5" s="1" t="s">
        <v>60</v>
      </c>
      <c r="B5" s="8" t="s">
        <v>61</v>
      </c>
      <c r="C5" s="8">
        <f>C4/B4-1</f>
        <v>0.16666666666666674</v>
      </c>
      <c r="D5" s="8">
        <f>D4/C4-1</f>
        <v>0.19047619047619047</v>
      </c>
      <c r="E5" s="8">
        <f>Assumptions!B4</f>
        <v>0.14000000000000001</v>
      </c>
      <c r="F5" s="8">
        <f>Assumptions!C4</f>
        <v>0.12</v>
      </c>
      <c r="G5" s="8">
        <f>Assumptions!D4</f>
        <v>0.1</v>
      </c>
      <c r="H5" s="8">
        <f>Assumptions!E4</f>
        <v>0.09</v>
      </c>
      <c r="I5" s="8">
        <f>Assumptions!F4</f>
        <v>0.08</v>
      </c>
      <c r="J5" s="1"/>
      <c r="K5" s="1"/>
      <c r="L5" s="1"/>
      <c r="M5" s="1"/>
      <c r="N5" s="1"/>
      <c r="O5" s="1"/>
    </row>
    <row r="6" spans="1:15" ht="14.4" customHeight="1">
      <c r="A6" s="1"/>
      <c r="B6" s="7"/>
      <c r="C6" s="7"/>
      <c r="D6" s="7"/>
      <c r="E6" s="7"/>
      <c r="F6" s="7"/>
      <c r="G6" s="7"/>
      <c r="H6" s="7"/>
      <c r="I6" s="7"/>
      <c r="J6" s="1"/>
      <c r="K6" s="1"/>
      <c r="L6" s="1"/>
      <c r="M6" s="1"/>
      <c r="N6" s="1"/>
      <c r="O6" s="1"/>
    </row>
    <row r="7" spans="1:15" ht="14.4" customHeight="1">
      <c r="A7" s="1"/>
      <c r="B7" s="7"/>
      <c r="C7" s="7"/>
      <c r="D7" s="7"/>
      <c r="E7" s="7"/>
      <c r="F7" s="7"/>
      <c r="G7" s="7"/>
      <c r="H7" s="7"/>
      <c r="I7" s="7"/>
      <c r="J7" s="1"/>
      <c r="K7" s="1"/>
      <c r="L7" s="1"/>
      <c r="M7" s="1"/>
      <c r="N7" s="1"/>
      <c r="O7" s="1"/>
    </row>
    <row r="8" spans="1:15" ht="14.4" customHeight="1">
      <c r="A8" s="1"/>
      <c r="B8" s="7"/>
      <c r="C8" s="7"/>
      <c r="D8" s="7"/>
      <c r="E8" s="7"/>
      <c r="F8" s="7"/>
      <c r="G8" s="7"/>
      <c r="H8" s="7"/>
      <c r="I8" s="7"/>
      <c r="J8" s="1"/>
      <c r="K8" s="1"/>
      <c r="L8" s="1"/>
      <c r="M8" s="1"/>
      <c r="N8" s="1"/>
      <c r="O8" s="1"/>
    </row>
    <row r="9" spans="1:15" ht="14.4" customHeight="1">
      <c r="A9" s="1"/>
      <c r="B9" s="7"/>
      <c r="C9" s="7"/>
      <c r="D9" s="7"/>
      <c r="E9" s="7"/>
      <c r="F9" s="7"/>
      <c r="G9" s="7"/>
      <c r="H9" s="7"/>
      <c r="I9" s="7"/>
      <c r="J9" s="1"/>
      <c r="K9" s="1"/>
      <c r="L9" s="1"/>
      <c r="M9" s="1"/>
      <c r="N9" s="1"/>
      <c r="O9" s="1"/>
    </row>
    <row r="10" spans="1:15" ht="14.4" customHeight="1">
      <c r="A10" s="1"/>
      <c r="B10" s="7"/>
      <c r="C10" s="7"/>
      <c r="D10" s="7"/>
      <c r="E10" s="7"/>
      <c r="F10" s="7"/>
      <c r="G10" s="7"/>
      <c r="H10" s="7"/>
      <c r="I10" s="7"/>
      <c r="J10" s="1"/>
      <c r="K10" s="1"/>
      <c r="L10" s="1"/>
      <c r="M10" s="1"/>
      <c r="N10" s="1"/>
      <c r="O10" s="1"/>
    </row>
    <row r="11" spans="1:15" ht="14.4" customHeight="1">
      <c r="A11" s="1"/>
      <c r="B11" s="7"/>
      <c r="C11" s="7"/>
      <c r="D11" s="7"/>
      <c r="E11" s="7"/>
      <c r="F11" s="7"/>
      <c r="G11" s="7"/>
      <c r="H11" s="7"/>
      <c r="I11" s="7"/>
      <c r="J11" s="1"/>
      <c r="K11" s="1"/>
      <c r="L11" s="1"/>
      <c r="M11" s="1"/>
      <c r="N11" s="1"/>
      <c r="O11" s="1"/>
    </row>
    <row r="12" spans="1:15" ht="14.4" customHeight="1">
      <c r="A12" s="1"/>
      <c r="B12" s="7"/>
      <c r="C12" s="7"/>
      <c r="D12" s="7"/>
      <c r="E12" s="7"/>
      <c r="F12" s="7"/>
      <c r="G12" s="7"/>
      <c r="H12" s="7"/>
      <c r="I12" s="7"/>
      <c r="J12" s="1"/>
      <c r="K12" s="1"/>
      <c r="L12" s="1"/>
      <c r="M12" s="1"/>
      <c r="N12" s="1"/>
      <c r="O12" s="1"/>
    </row>
    <row r="13" spans="1:15" ht="14.4" customHeight="1">
      <c r="A13" s="1"/>
      <c r="B13" s="7"/>
      <c r="C13" s="7"/>
      <c r="D13" s="7"/>
      <c r="E13" s="7"/>
      <c r="F13" s="7"/>
      <c r="G13" s="7"/>
      <c r="H13" s="7"/>
      <c r="I13" s="7"/>
      <c r="J13" s="1"/>
      <c r="K13" s="1"/>
      <c r="L13" s="1"/>
      <c r="M13" s="1"/>
      <c r="N13" s="1"/>
      <c r="O13" s="1"/>
    </row>
    <row r="14" spans="1:15" ht="14.4" customHeight="1">
      <c r="A14" s="1"/>
      <c r="B14" s="7"/>
      <c r="C14" s="7"/>
      <c r="D14" s="7"/>
      <c r="E14" s="7"/>
      <c r="F14" s="7"/>
      <c r="G14" s="7"/>
      <c r="H14" s="7"/>
      <c r="I14" s="7"/>
      <c r="J14" s="1"/>
      <c r="K14" s="1"/>
      <c r="L14" s="1"/>
      <c r="M14" s="1"/>
      <c r="N14" s="1"/>
      <c r="O14" s="1"/>
    </row>
    <row r="15" spans="1:15" ht="14.4" customHeight="1">
      <c r="A15" s="1"/>
      <c r="B15" s="7"/>
      <c r="C15" s="7"/>
      <c r="D15" s="7"/>
      <c r="E15" s="7"/>
      <c r="F15" s="7"/>
      <c r="G15" s="7"/>
      <c r="H15" s="7"/>
      <c r="I15" s="7"/>
      <c r="J15" s="1"/>
      <c r="K15" s="1"/>
      <c r="L15" s="1"/>
      <c r="M15" s="1"/>
      <c r="N15" s="1"/>
      <c r="O15" s="1"/>
    </row>
    <row r="16" spans="1:15" ht="14.4" customHeight="1">
      <c r="A16" s="1"/>
      <c r="B16" s="7"/>
      <c r="C16" s="7"/>
      <c r="D16" s="7"/>
      <c r="E16" s="7"/>
      <c r="F16" s="7"/>
      <c r="G16" s="7"/>
      <c r="H16" s="7"/>
      <c r="I16" s="7"/>
      <c r="J16" s="1"/>
      <c r="K16" s="1"/>
      <c r="L16" s="1"/>
      <c r="M16" s="1"/>
      <c r="N16" s="1"/>
      <c r="O16" s="1"/>
    </row>
    <row r="17" spans="1:15" ht="14.4" customHeight="1">
      <c r="A17" s="1"/>
      <c r="B17" s="7"/>
      <c r="C17" s="7"/>
      <c r="D17" s="7"/>
      <c r="E17" s="7"/>
      <c r="F17" s="7"/>
      <c r="G17" s="7"/>
      <c r="H17" s="7"/>
      <c r="I17" s="7"/>
      <c r="J17" s="1"/>
      <c r="K17" s="1"/>
      <c r="L17" s="1"/>
      <c r="M17" s="1"/>
      <c r="N17" s="1"/>
      <c r="O17" s="1"/>
    </row>
    <row r="18" spans="1:15" ht="14.4" customHeight="1">
      <c r="A18" s="1"/>
      <c r="B18" s="7"/>
      <c r="C18" s="7"/>
      <c r="D18" s="7"/>
      <c r="E18" s="7"/>
      <c r="F18" s="7"/>
      <c r="G18" s="7"/>
      <c r="H18" s="7"/>
      <c r="I18" s="7"/>
      <c r="J18" s="1"/>
      <c r="K18" s="1"/>
      <c r="L18" s="1"/>
      <c r="M18" s="1"/>
      <c r="N18" s="1"/>
      <c r="O18" s="1"/>
    </row>
    <row r="19" spans="1:15" ht="14.4" customHeight="1">
      <c r="A19" s="1"/>
      <c r="B19" s="7"/>
      <c r="C19" s="7"/>
      <c r="D19" s="7"/>
      <c r="E19" s="7"/>
      <c r="F19" s="7"/>
      <c r="G19" s="7"/>
      <c r="H19" s="7"/>
      <c r="I19" s="7"/>
      <c r="J19" s="1"/>
      <c r="K19" s="1"/>
      <c r="L19" s="1"/>
      <c r="M19" s="1"/>
      <c r="N19" s="1"/>
      <c r="O19" s="1"/>
    </row>
    <row r="20" spans="1:15" ht="14.4" customHeight="1">
      <c r="A20" s="1"/>
      <c r="B20" s="7"/>
      <c r="C20" s="7"/>
      <c r="D20" s="7"/>
      <c r="E20" s="7"/>
      <c r="F20" s="7"/>
      <c r="G20" s="7"/>
      <c r="H20" s="7"/>
      <c r="I20" s="7"/>
      <c r="J20" s="1"/>
      <c r="K20" s="1"/>
      <c r="L20" s="1"/>
      <c r="M20" s="1"/>
      <c r="N20" s="1"/>
      <c r="O20" s="1"/>
    </row>
    <row r="21" spans="1:15" ht="14.4" customHeight="1">
      <c r="A21" s="1"/>
      <c r="B21" s="7"/>
      <c r="C21" s="7"/>
      <c r="D21" s="7"/>
      <c r="E21" s="7"/>
      <c r="F21" s="7"/>
      <c r="G21" s="7"/>
      <c r="H21" s="7"/>
      <c r="I21" s="7"/>
      <c r="J21" s="1"/>
      <c r="K21" s="1"/>
      <c r="L21" s="1"/>
      <c r="M21" s="1"/>
      <c r="N21" s="1"/>
      <c r="O21" s="1"/>
    </row>
    <row r="22" spans="1:15" ht="14.4" customHeight="1">
      <c r="A22" s="1"/>
      <c r="B22" s="7"/>
      <c r="C22" s="7"/>
      <c r="D22" s="7"/>
      <c r="E22" s="7"/>
      <c r="F22" s="7"/>
      <c r="G22" s="7"/>
      <c r="H22" s="7"/>
      <c r="I22" s="7"/>
      <c r="J22" s="1"/>
      <c r="K22" s="1"/>
      <c r="L22" s="1"/>
      <c r="M22" s="1"/>
      <c r="N22" s="1"/>
      <c r="O22" s="1"/>
    </row>
    <row r="23" spans="1:15" ht="14.4" customHeight="1">
      <c r="A23" s="1"/>
      <c r="B23" s="7"/>
      <c r="C23" s="7"/>
      <c r="D23" s="7"/>
      <c r="E23" s="7"/>
      <c r="F23" s="7"/>
      <c r="G23" s="7"/>
      <c r="H23" s="7"/>
      <c r="I23" s="7"/>
      <c r="J23" s="1"/>
      <c r="K23" s="1"/>
      <c r="L23" s="1"/>
      <c r="M23" s="1"/>
      <c r="N23" s="1"/>
      <c r="O23" s="1"/>
    </row>
    <row r="24" spans="1:15" ht="14.4" customHeight="1">
      <c r="A24" s="1"/>
      <c r="B24" s="7"/>
      <c r="C24" s="7"/>
      <c r="D24" s="7"/>
      <c r="E24" s="7"/>
      <c r="F24" s="7"/>
      <c r="G24" s="7"/>
      <c r="H24" s="7"/>
      <c r="I24" s="7"/>
      <c r="J24" s="1"/>
      <c r="K24" s="1"/>
      <c r="L24" s="1"/>
      <c r="M24" s="1"/>
      <c r="N24" s="1"/>
      <c r="O24" s="1"/>
    </row>
    <row r="25" spans="1:15" ht="14.4" customHeight="1">
      <c r="A25" s="1"/>
      <c r="B25" s="7"/>
      <c r="C25" s="7"/>
      <c r="D25" s="7"/>
      <c r="E25" s="7"/>
      <c r="F25" s="7"/>
      <c r="G25" s="7"/>
      <c r="H25" s="7"/>
      <c r="I25" s="7"/>
      <c r="J25" s="1"/>
      <c r="K25" s="1"/>
      <c r="L25" s="1"/>
      <c r="M25" s="1"/>
      <c r="N25" s="1"/>
      <c r="O25" s="1"/>
    </row>
    <row r="26" spans="1:15" ht="14.4" customHeight="1">
      <c r="A26" s="1"/>
      <c r="B26" s="7"/>
      <c r="C26" s="7"/>
      <c r="D26" s="7"/>
      <c r="E26" s="7"/>
      <c r="F26" s="7"/>
      <c r="G26" s="7"/>
      <c r="H26" s="7"/>
      <c r="I26" s="7"/>
      <c r="J26" s="1"/>
      <c r="K26" s="1"/>
      <c r="L26" s="1"/>
      <c r="M26" s="1"/>
      <c r="N26" s="1"/>
      <c r="O26" s="1"/>
    </row>
    <row r="27" spans="1:15" ht="14.4" customHeight="1">
      <c r="A27" s="1"/>
      <c r="B27" s="7"/>
      <c r="C27" s="7"/>
      <c r="D27" s="7"/>
      <c r="E27" s="7"/>
      <c r="F27" s="7"/>
      <c r="G27" s="7"/>
      <c r="H27" s="7"/>
      <c r="I27" s="7"/>
      <c r="J27" s="1"/>
      <c r="K27" s="1"/>
      <c r="L27" s="1"/>
      <c r="M27" s="1"/>
      <c r="N27" s="1"/>
      <c r="O27" s="1"/>
    </row>
    <row r="28" spans="1:15" ht="14.4" customHeight="1">
      <c r="A28" s="1"/>
      <c r="B28" s="7"/>
      <c r="C28" s="7"/>
      <c r="D28" s="7"/>
      <c r="E28" s="7"/>
      <c r="F28" s="7"/>
      <c r="G28" s="7"/>
      <c r="H28" s="7"/>
      <c r="I28" s="7"/>
      <c r="J28" s="1"/>
      <c r="K28" s="1"/>
      <c r="L28" s="1"/>
      <c r="M28" s="1"/>
      <c r="N28" s="1"/>
      <c r="O28" s="1"/>
    </row>
    <row r="29" spans="1:15" ht="14.4" customHeight="1">
      <c r="A29" s="1"/>
      <c r="B29" s="7"/>
      <c r="C29" s="7"/>
      <c r="D29" s="7"/>
      <c r="E29" s="7"/>
      <c r="F29" s="7"/>
      <c r="G29" s="7"/>
      <c r="H29" s="7"/>
      <c r="I29" s="7"/>
      <c r="J29" s="1"/>
      <c r="K29" s="1"/>
      <c r="L29" s="1"/>
      <c r="M29" s="1"/>
      <c r="N29" s="1"/>
      <c r="O29" s="1"/>
    </row>
    <row r="30" spans="1:15" ht="14.4" customHeight="1">
      <c r="A30" s="1"/>
      <c r="B30" s="7"/>
      <c r="C30" s="7"/>
      <c r="D30" s="7"/>
      <c r="E30" s="7"/>
      <c r="F30" s="7"/>
      <c r="G30" s="7"/>
      <c r="H30" s="7"/>
      <c r="I30" s="7"/>
      <c r="J30" s="1"/>
      <c r="K30" s="1"/>
      <c r="L30" s="1"/>
      <c r="M30" s="1"/>
      <c r="N30" s="1"/>
      <c r="O30" s="1"/>
    </row>
    <row r="31" spans="1:15" ht="14.4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14.4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14.4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14.4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14.4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14.4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14.4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14.4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14.4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14.4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</sheetData>
  <mergeCells count="1">
    <mergeCell ref="A1:I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40"/>
  <sheetViews>
    <sheetView workbookViewId="0">
      <selection activeCell="E4" sqref="E4"/>
    </sheetView>
  </sheetViews>
  <sheetFormatPr defaultRowHeight="13.8"/>
  <cols>
    <col min="1" max="1" width="30" customWidth="1"/>
    <col min="2" max="15" width="13" customWidth="1"/>
  </cols>
  <sheetData>
    <row r="1" spans="1:15" ht="20.85" customHeight="1">
      <c r="A1" s="22" t="s">
        <v>62</v>
      </c>
      <c r="B1" s="22"/>
      <c r="C1" s="22"/>
      <c r="D1" s="22"/>
      <c r="E1" s="22"/>
      <c r="F1" s="22"/>
      <c r="G1" s="22"/>
      <c r="H1" s="22"/>
      <c r="I1" s="22"/>
      <c r="J1" s="1"/>
      <c r="K1" s="1"/>
      <c r="L1" s="1"/>
      <c r="M1" s="1"/>
      <c r="N1" s="1"/>
      <c r="O1" s="1"/>
    </row>
    <row r="2" spans="1:15" ht="14.4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14.4" customHeight="1">
      <c r="A3" s="6" t="s">
        <v>41</v>
      </c>
      <c r="B3" s="5">
        <v>2023</v>
      </c>
      <c r="C3" s="5">
        <v>2024</v>
      </c>
      <c r="D3" s="5">
        <v>2025</v>
      </c>
      <c r="E3" s="5">
        <v>2026</v>
      </c>
      <c r="F3" s="5">
        <v>2027</v>
      </c>
      <c r="G3" s="5">
        <v>2028</v>
      </c>
      <c r="H3" s="5">
        <v>2029</v>
      </c>
      <c r="I3" s="5">
        <v>2030</v>
      </c>
      <c r="J3" s="1"/>
      <c r="K3" s="1"/>
      <c r="L3" s="1"/>
      <c r="M3" s="1"/>
      <c r="N3" s="1"/>
      <c r="O3" s="1"/>
    </row>
    <row r="4" spans="1:15" ht="14.4" customHeight="1">
      <c r="A4" s="1" t="s">
        <v>42</v>
      </c>
      <c r="B4" s="7">
        <v>180</v>
      </c>
      <c r="C4" s="7">
        <v>210</v>
      </c>
      <c r="D4" s="7">
        <v>250</v>
      </c>
      <c r="E4" s="12">
        <f>'Revenue Build'!E4</f>
        <v>285.00000000000006</v>
      </c>
      <c r="F4" s="12">
        <f>'Revenue Build'!F4</f>
        <v>319.2000000000001</v>
      </c>
      <c r="G4" s="12">
        <f>'Revenue Build'!G4</f>
        <v>351.12000000000012</v>
      </c>
      <c r="H4" s="12">
        <f>'Revenue Build'!H4</f>
        <v>382.72080000000017</v>
      </c>
      <c r="I4" s="12">
        <f>'Revenue Build'!I4</f>
        <v>413.33846400000022</v>
      </c>
      <c r="J4" s="1"/>
      <c r="K4" s="1"/>
      <c r="L4" s="1"/>
      <c r="M4" s="1"/>
      <c r="N4" s="1"/>
      <c r="O4" s="1"/>
    </row>
    <row r="5" spans="1:15" ht="14.4" customHeight="1">
      <c r="A5" s="1" t="s">
        <v>43</v>
      </c>
      <c r="B5" s="7">
        <v>-72</v>
      </c>
      <c r="C5" s="7">
        <v>-82</v>
      </c>
      <c r="D5" s="7">
        <v>-95</v>
      </c>
      <c r="E5" s="12">
        <f>-E4*Assumptions!B5</f>
        <v>-105.45000000000002</v>
      </c>
      <c r="F5" s="12">
        <f>-F4*Assumptions!C5</f>
        <v>-114.91200000000003</v>
      </c>
      <c r="G5" s="12">
        <f>-G4*Assumptions!D5</f>
        <v>-122.89200000000004</v>
      </c>
      <c r="H5" s="12">
        <f>-H4*Assumptions!E5</f>
        <v>-133.95228000000006</v>
      </c>
      <c r="I5" s="12">
        <f>-I4*Assumptions!F5</f>
        <v>-140.53507776000009</v>
      </c>
      <c r="J5" s="1"/>
      <c r="K5" s="1"/>
      <c r="L5" s="1"/>
      <c r="M5" s="1"/>
      <c r="N5" s="1"/>
      <c r="O5" s="1"/>
    </row>
    <row r="6" spans="1:15" ht="14.4" customHeight="1">
      <c r="A6" s="13" t="s">
        <v>63</v>
      </c>
      <c r="B6" s="14">
        <v>108</v>
      </c>
      <c r="C6" s="14">
        <v>128</v>
      </c>
      <c r="D6" s="14">
        <v>155</v>
      </c>
      <c r="E6" s="15">
        <f>SUM(E4:E5)</f>
        <v>179.55000000000004</v>
      </c>
      <c r="F6" s="15">
        <f>SUM(F4:F5)</f>
        <v>204.28800000000007</v>
      </c>
      <c r="G6" s="15">
        <f>SUM(G4:G5)</f>
        <v>228.22800000000007</v>
      </c>
      <c r="H6" s="15">
        <f>SUM(H4:H5)</f>
        <v>248.76852000000011</v>
      </c>
      <c r="I6" s="15">
        <f>SUM(I4:I5)</f>
        <v>272.80338624000012</v>
      </c>
      <c r="J6" s="1"/>
      <c r="K6" s="1"/>
      <c r="L6" s="1"/>
      <c r="M6" s="1"/>
      <c r="N6" s="1"/>
      <c r="O6" s="1"/>
    </row>
    <row r="7" spans="1:15" ht="14.4" customHeight="1">
      <c r="A7" s="1" t="s">
        <v>44</v>
      </c>
      <c r="B7" s="7">
        <v>-70</v>
      </c>
      <c r="C7" s="7">
        <v>-78</v>
      </c>
      <c r="D7" s="7">
        <v>-88</v>
      </c>
      <c r="E7" s="12">
        <f>-E4*Assumptions!B6</f>
        <v>-96.90000000000002</v>
      </c>
      <c r="F7" s="12">
        <f>-F4*Assumptions!C6</f>
        <v>-105.33600000000004</v>
      </c>
      <c r="G7" s="12">
        <f>-G4*Assumptions!D6</f>
        <v>-112.35840000000005</v>
      </c>
      <c r="H7" s="12">
        <f>-H4*Assumptions!E6</f>
        <v>-118.64344800000005</v>
      </c>
      <c r="I7" s="12">
        <f>-I4*Assumptions!F6</f>
        <v>-124.00153920000005</v>
      </c>
      <c r="J7" s="1"/>
      <c r="K7" s="1"/>
      <c r="L7" s="1"/>
      <c r="M7" s="1"/>
      <c r="N7" s="1"/>
      <c r="O7" s="1"/>
    </row>
    <row r="8" spans="1:15" ht="14.4" customHeight="1">
      <c r="A8" s="13" t="s">
        <v>64</v>
      </c>
      <c r="B8" s="14">
        <v>38</v>
      </c>
      <c r="C8" s="14">
        <v>50</v>
      </c>
      <c r="D8" s="14">
        <v>67</v>
      </c>
      <c r="E8" s="15">
        <f>SUM(E6:E7)</f>
        <v>82.65000000000002</v>
      </c>
      <c r="F8" s="15">
        <f>SUM(F6:F7)</f>
        <v>98.952000000000027</v>
      </c>
      <c r="G8" s="15">
        <f>SUM(G6:G7)</f>
        <v>115.86960000000002</v>
      </c>
      <c r="H8" s="15">
        <f>SUM(H6:H7)</f>
        <v>130.12507200000005</v>
      </c>
      <c r="I8" s="15">
        <f>SUM(I6:I7)</f>
        <v>148.80184704000007</v>
      </c>
      <c r="J8" s="1"/>
      <c r="K8" s="1"/>
      <c r="L8" s="1"/>
      <c r="M8" s="1"/>
      <c r="N8" s="1"/>
      <c r="O8" s="1"/>
    </row>
    <row r="9" spans="1:15" ht="14.4" customHeight="1">
      <c r="A9" s="1" t="s">
        <v>45</v>
      </c>
      <c r="B9" s="7">
        <v>-8</v>
      </c>
      <c r="C9" s="7">
        <v>-9</v>
      </c>
      <c r="D9" s="7">
        <v>-10</v>
      </c>
      <c r="E9" s="12">
        <f>-E4*Assumptions!B7</f>
        <v>-11.400000000000002</v>
      </c>
      <c r="F9" s="12">
        <f>-F4*Assumptions!C7</f>
        <v>-12.768000000000004</v>
      </c>
      <c r="G9" s="12">
        <f>-G4*Assumptions!D7</f>
        <v>-14.044800000000006</v>
      </c>
      <c r="H9" s="12">
        <f>-H4*Assumptions!E7</f>
        <v>-15.308832000000008</v>
      </c>
      <c r="I9" s="12">
        <f>-I4*Assumptions!F7</f>
        <v>-16.533538560000007</v>
      </c>
      <c r="J9" s="1"/>
      <c r="K9" s="1"/>
      <c r="L9" s="1"/>
      <c r="M9" s="1"/>
      <c r="N9" s="1"/>
      <c r="O9" s="1"/>
    </row>
    <row r="10" spans="1:15" ht="14.4" customHeight="1">
      <c r="A10" s="13" t="s">
        <v>65</v>
      </c>
      <c r="B10" s="14">
        <v>30</v>
      </c>
      <c r="C10" s="14">
        <v>41</v>
      </c>
      <c r="D10" s="14">
        <v>57</v>
      </c>
      <c r="E10" s="15">
        <f>SUM(E8:E9)</f>
        <v>71.250000000000014</v>
      </c>
      <c r="F10" s="15">
        <f>SUM(F8:F9)</f>
        <v>86.184000000000026</v>
      </c>
      <c r="G10" s="15">
        <f>SUM(G8:G9)</f>
        <v>101.82480000000001</v>
      </c>
      <c r="H10" s="15">
        <f>SUM(H8:H9)</f>
        <v>114.81624000000004</v>
      </c>
      <c r="I10" s="15">
        <f>SUM(I8:I9)</f>
        <v>132.26830848000006</v>
      </c>
      <c r="J10" s="1"/>
      <c r="K10" s="1"/>
      <c r="L10" s="1"/>
      <c r="M10" s="1"/>
      <c r="N10" s="1"/>
      <c r="O10" s="1"/>
    </row>
    <row r="11" spans="1:15" ht="14.4" customHeight="1">
      <c r="A11" s="1" t="s">
        <v>46</v>
      </c>
      <c r="B11" s="7">
        <v>-3</v>
      </c>
      <c r="C11" s="7">
        <v>-3</v>
      </c>
      <c r="D11" s="7">
        <v>-4</v>
      </c>
      <c r="E11" s="12">
        <f>-Assumptions!B17*Assumptions!B18</f>
        <v>-3.78</v>
      </c>
      <c r="F11" s="12">
        <f>-Assumptions!C17*Assumptions!C18</f>
        <v>-3.5999999999999996</v>
      </c>
      <c r="G11" s="12">
        <f>-Assumptions!D17*Assumptions!D18</f>
        <v>-3.33</v>
      </c>
      <c r="H11" s="12">
        <f>-Assumptions!E17*Assumptions!E18</f>
        <v>-2.9699999999999998</v>
      </c>
      <c r="I11" s="12">
        <f>-Assumptions!F17*Assumptions!F18</f>
        <v>-2.52</v>
      </c>
      <c r="J11" s="1"/>
      <c r="K11" s="1"/>
      <c r="L11" s="1"/>
      <c r="M11" s="1"/>
      <c r="N11" s="1"/>
      <c r="O11" s="1"/>
    </row>
    <row r="12" spans="1:15" ht="14.4" customHeight="1">
      <c r="A12" s="13" t="s">
        <v>66</v>
      </c>
      <c r="B12" s="14">
        <v>27</v>
      </c>
      <c r="C12" s="14">
        <v>38</v>
      </c>
      <c r="D12" s="14">
        <v>53</v>
      </c>
      <c r="E12" s="15">
        <f>SUM(E10:E11)</f>
        <v>67.470000000000013</v>
      </c>
      <c r="F12" s="15">
        <f>SUM(F10:F11)</f>
        <v>82.584000000000032</v>
      </c>
      <c r="G12" s="15">
        <f>SUM(G10:G11)</f>
        <v>98.494800000000012</v>
      </c>
      <c r="H12" s="15">
        <f>SUM(H10:H11)</f>
        <v>111.84624000000004</v>
      </c>
      <c r="I12" s="15">
        <f>SUM(I10:I11)</f>
        <v>129.74830848000005</v>
      </c>
      <c r="J12" s="1"/>
      <c r="K12" s="1"/>
      <c r="L12" s="1"/>
      <c r="M12" s="1"/>
      <c r="N12" s="1"/>
      <c r="O12" s="1"/>
    </row>
    <row r="13" spans="1:15" ht="14.4" customHeight="1">
      <c r="A13" s="1" t="s">
        <v>67</v>
      </c>
      <c r="B13" s="7">
        <v>-6.75</v>
      </c>
      <c r="C13" s="7">
        <v>-9.5</v>
      </c>
      <c r="D13" s="7">
        <v>-13.25</v>
      </c>
      <c r="E13" s="12">
        <f>-MAX(0,E12*Assumptions!B8)</f>
        <v>-16.867500000000003</v>
      </c>
      <c r="F13" s="12">
        <f>-MAX(0,F12*Assumptions!C8)</f>
        <v>-20.646000000000008</v>
      </c>
      <c r="G13" s="12">
        <f>-MAX(0,G12*Assumptions!D8)</f>
        <v>-24.623700000000003</v>
      </c>
      <c r="H13" s="12">
        <f>-MAX(0,H12*Assumptions!E8)</f>
        <v>-27.961560000000009</v>
      </c>
      <c r="I13" s="12">
        <f>-MAX(0,I12*Assumptions!F8)</f>
        <v>-32.437077120000012</v>
      </c>
      <c r="J13" s="1"/>
      <c r="K13" s="1"/>
      <c r="L13" s="1"/>
      <c r="M13" s="1"/>
      <c r="N13" s="1"/>
      <c r="O13" s="1"/>
    </row>
    <row r="14" spans="1:15" ht="14.4" customHeight="1">
      <c r="A14" s="13" t="s">
        <v>68</v>
      </c>
      <c r="B14" s="14">
        <v>20.25</v>
      </c>
      <c r="C14" s="14">
        <v>28.5</v>
      </c>
      <c r="D14" s="14">
        <v>39.75</v>
      </c>
      <c r="E14" s="15">
        <f>SUM(E12:E13)</f>
        <v>50.602500000000006</v>
      </c>
      <c r="F14" s="15">
        <f>SUM(F12:F13)</f>
        <v>61.938000000000024</v>
      </c>
      <c r="G14" s="15">
        <f>SUM(G12:G13)</f>
        <v>73.871100000000013</v>
      </c>
      <c r="H14" s="15">
        <f>SUM(H12:H13)</f>
        <v>83.884680000000031</v>
      </c>
      <c r="I14" s="15">
        <f>SUM(I12:I13)</f>
        <v>97.311231360000036</v>
      </c>
      <c r="J14" s="1"/>
      <c r="K14" s="1"/>
      <c r="L14" s="1"/>
      <c r="M14" s="1"/>
      <c r="N14" s="1"/>
      <c r="O14" s="1"/>
    </row>
    <row r="15" spans="1:15" ht="14.4" customHeight="1">
      <c r="A15" s="1"/>
      <c r="B15" s="7"/>
      <c r="C15" s="7"/>
      <c r="D15" s="7"/>
      <c r="E15" s="12"/>
      <c r="F15" s="12"/>
      <c r="G15" s="12"/>
      <c r="H15" s="12"/>
      <c r="I15" s="12"/>
      <c r="J15" s="1"/>
      <c r="K15" s="1"/>
      <c r="L15" s="1"/>
      <c r="M15" s="1"/>
      <c r="N15" s="1"/>
      <c r="O15" s="1"/>
    </row>
    <row r="16" spans="1:15" ht="14.4" customHeight="1">
      <c r="A16" s="1"/>
      <c r="B16" s="7"/>
      <c r="C16" s="7"/>
      <c r="D16" s="7"/>
      <c r="E16" s="12"/>
      <c r="F16" s="12"/>
      <c r="G16" s="12"/>
      <c r="H16" s="12"/>
      <c r="I16" s="12"/>
      <c r="J16" s="1"/>
      <c r="K16" s="1"/>
      <c r="L16" s="1"/>
      <c r="M16" s="1"/>
      <c r="N16" s="1"/>
      <c r="O16" s="1"/>
    </row>
    <row r="17" spans="1:15" ht="14.4" customHeight="1">
      <c r="A17" s="1"/>
      <c r="B17" s="7"/>
      <c r="C17" s="7"/>
      <c r="D17" s="7"/>
      <c r="E17" s="12"/>
      <c r="F17" s="12"/>
      <c r="G17" s="12"/>
      <c r="H17" s="12"/>
      <c r="I17" s="12"/>
      <c r="J17" s="1"/>
      <c r="K17" s="1"/>
      <c r="L17" s="1"/>
      <c r="M17" s="1"/>
      <c r="N17" s="1"/>
      <c r="O17" s="1"/>
    </row>
    <row r="18" spans="1:15" ht="14.4" customHeight="1">
      <c r="A18" s="1"/>
      <c r="B18" s="7"/>
      <c r="C18" s="7"/>
      <c r="D18" s="7"/>
      <c r="E18" s="12"/>
      <c r="F18" s="12"/>
      <c r="G18" s="12"/>
      <c r="H18" s="12"/>
      <c r="I18" s="12"/>
      <c r="J18" s="1"/>
      <c r="K18" s="1"/>
      <c r="L18" s="1"/>
      <c r="M18" s="1"/>
      <c r="N18" s="1"/>
      <c r="O18" s="1"/>
    </row>
    <row r="19" spans="1:15" ht="14.4" customHeight="1">
      <c r="A19" s="1"/>
      <c r="B19" s="7"/>
      <c r="C19" s="7"/>
      <c r="D19" s="7"/>
      <c r="E19" s="12"/>
      <c r="F19" s="12"/>
      <c r="G19" s="12"/>
      <c r="H19" s="12"/>
      <c r="I19" s="12"/>
      <c r="J19" s="1"/>
      <c r="K19" s="1"/>
      <c r="L19" s="1"/>
      <c r="M19" s="1"/>
      <c r="N19" s="1"/>
      <c r="O19" s="1"/>
    </row>
    <row r="20" spans="1:15" ht="14.4" customHeight="1">
      <c r="A20" s="1"/>
      <c r="B20" s="7"/>
      <c r="C20" s="7"/>
      <c r="D20" s="7"/>
      <c r="E20" s="12"/>
      <c r="F20" s="12"/>
      <c r="G20" s="12"/>
      <c r="H20" s="12"/>
      <c r="I20" s="12"/>
      <c r="J20" s="1"/>
      <c r="K20" s="1"/>
      <c r="L20" s="1"/>
      <c r="M20" s="1"/>
      <c r="N20" s="1"/>
      <c r="O20" s="1"/>
    </row>
    <row r="21" spans="1:15" ht="14.4" customHeight="1">
      <c r="A21" s="1"/>
      <c r="B21" s="7"/>
      <c r="C21" s="7"/>
      <c r="D21" s="7"/>
      <c r="E21" s="12"/>
      <c r="F21" s="12"/>
      <c r="G21" s="12"/>
      <c r="H21" s="12"/>
      <c r="I21" s="12"/>
      <c r="J21" s="1"/>
      <c r="K21" s="1"/>
      <c r="L21" s="1"/>
      <c r="M21" s="1"/>
      <c r="N21" s="1"/>
      <c r="O21" s="1"/>
    </row>
    <row r="22" spans="1:15" ht="14.4" customHeight="1">
      <c r="A22" s="1"/>
      <c r="B22" s="7"/>
      <c r="C22" s="7"/>
      <c r="D22" s="7"/>
      <c r="E22" s="12"/>
      <c r="F22" s="12"/>
      <c r="G22" s="12"/>
      <c r="H22" s="12"/>
      <c r="I22" s="12"/>
      <c r="J22" s="1"/>
      <c r="K22" s="1"/>
      <c r="L22" s="1"/>
      <c r="M22" s="1"/>
      <c r="N22" s="1"/>
      <c r="O22" s="1"/>
    </row>
    <row r="23" spans="1:15" ht="14.4" customHeight="1">
      <c r="A23" s="1"/>
      <c r="B23" s="7"/>
      <c r="C23" s="7"/>
      <c r="D23" s="7"/>
      <c r="E23" s="12"/>
      <c r="F23" s="12"/>
      <c r="G23" s="12"/>
      <c r="H23" s="12"/>
      <c r="I23" s="12"/>
      <c r="J23" s="1"/>
      <c r="K23" s="1"/>
      <c r="L23" s="1"/>
      <c r="M23" s="1"/>
      <c r="N23" s="1"/>
      <c r="O23" s="1"/>
    </row>
    <row r="24" spans="1:15" ht="14.4" customHeight="1">
      <c r="A24" s="1"/>
      <c r="B24" s="7"/>
      <c r="C24" s="7"/>
      <c r="D24" s="7"/>
      <c r="E24" s="12"/>
      <c r="F24" s="12"/>
      <c r="G24" s="12"/>
      <c r="H24" s="12"/>
      <c r="I24" s="12"/>
      <c r="J24" s="1"/>
      <c r="K24" s="1"/>
      <c r="L24" s="1"/>
      <c r="M24" s="1"/>
      <c r="N24" s="1"/>
      <c r="O24" s="1"/>
    </row>
    <row r="25" spans="1:15" ht="14.4" customHeight="1">
      <c r="A25" s="1"/>
      <c r="B25" s="7"/>
      <c r="C25" s="7"/>
      <c r="D25" s="7"/>
      <c r="E25" s="12"/>
      <c r="F25" s="12"/>
      <c r="G25" s="12"/>
      <c r="H25" s="12"/>
      <c r="I25" s="12"/>
      <c r="J25" s="1"/>
      <c r="K25" s="1"/>
      <c r="L25" s="1"/>
      <c r="M25" s="1"/>
      <c r="N25" s="1"/>
      <c r="O25" s="1"/>
    </row>
    <row r="26" spans="1:15" ht="14.4" customHeight="1">
      <c r="A26" s="1"/>
      <c r="B26" s="7"/>
      <c r="C26" s="7"/>
      <c r="D26" s="7"/>
      <c r="E26" s="12"/>
      <c r="F26" s="12"/>
      <c r="G26" s="12"/>
      <c r="H26" s="12"/>
      <c r="I26" s="12"/>
      <c r="J26" s="1"/>
      <c r="K26" s="1"/>
      <c r="L26" s="1"/>
      <c r="M26" s="1"/>
      <c r="N26" s="1"/>
      <c r="O26" s="1"/>
    </row>
    <row r="27" spans="1:15" ht="14.4" customHeight="1">
      <c r="A27" s="1"/>
      <c r="B27" s="7"/>
      <c r="C27" s="7"/>
      <c r="D27" s="7"/>
      <c r="E27" s="12"/>
      <c r="F27" s="12"/>
      <c r="G27" s="12"/>
      <c r="H27" s="12"/>
      <c r="I27" s="12"/>
      <c r="J27" s="1"/>
      <c r="K27" s="1"/>
      <c r="L27" s="1"/>
      <c r="M27" s="1"/>
      <c r="N27" s="1"/>
      <c r="O27" s="1"/>
    </row>
    <row r="28" spans="1:15" ht="14.4" customHeight="1">
      <c r="A28" s="1"/>
      <c r="B28" s="7"/>
      <c r="C28" s="7"/>
      <c r="D28" s="7"/>
      <c r="E28" s="12"/>
      <c r="F28" s="12"/>
      <c r="G28" s="12"/>
      <c r="H28" s="12"/>
      <c r="I28" s="12"/>
      <c r="J28" s="1"/>
      <c r="K28" s="1"/>
      <c r="L28" s="1"/>
      <c r="M28" s="1"/>
      <c r="N28" s="1"/>
      <c r="O28" s="1"/>
    </row>
    <row r="29" spans="1:15" ht="14.4" customHeight="1">
      <c r="A29" s="1"/>
      <c r="B29" s="7"/>
      <c r="C29" s="7"/>
      <c r="D29" s="7"/>
      <c r="E29" s="12"/>
      <c r="F29" s="12"/>
      <c r="G29" s="12"/>
      <c r="H29" s="12"/>
      <c r="I29" s="12"/>
      <c r="J29" s="1"/>
      <c r="K29" s="1"/>
      <c r="L29" s="1"/>
      <c r="M29" s="1"/>
      <c r="N29" s="1"/>
      <c r="O29" s="1"/>
    </row>
    <row r="30" spans="1:15" ht="14.4" customHeight="1">
      <c r="A30" s="1"/>
      <c r="B30" s="7"/>
      <c r="C30" s="7"/>
      <c r="D30" s="7"/>
      <c r="E30" s="12"/>
      <c r="F30" s="12"/>
      <c r="G30" s="12"/>
      <c r="H30" s="12"/>
      <c r="I30" s="12"/>
      <c r="J30" s="1"/>
      <c r="K30" s="1"/>
      <c r="L30" s="1"/>
      <c r="M30" s="1"/>
      <c r="N30" s="1"/>
      <c r="O30" s="1"/>
    </row>
    <row r="31" spans="1:15" ht="14.4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14.4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14.4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14.4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14.4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14.4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14.4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14.4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14.4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14.4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</sheetData>
  <mergeCells count="1">
    <mergeCell ref="A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40"/>
  <sheetViews>
    <sheetView tabSelected="1" workbookViewId="0">
      <selection activeCell="B12" sqref="B12"/>
    </sheetView>
  </sheetViews>
  <sheetFormatPr defaultRowHeight="13.8"/>
  <cols>
    <col min="1" max="1" width="30" customWidth="1"/>
    <col min="2" max="15" width="13" customWidth="1"/>
  </cols>
  <sheetData>
    <row r="1" spans="1:15" ht="20.85" customHeight="1">
      <c r="A1" s="22" t="s">
        <v>69</v>
      </c>
      <c r="B1" s="22"/>
      <c r="C1" s="22"/>
      <c r="D1" s="22"/>
      <c r="E1" s="22"/>
      <c r="F1" s="22"/>
      <c r="G1" s="22"/>
      <c r="H1" s="22"/>
      <c r="I1" s="22"/>
      <c r="J1" s="1"/>
      <c r="K1" s="1"/>
      <c r="L1" s="1"/>
      <c r="M1" s="1"/>
      <c r="N1" s="1"/>
      <c r="O1" s="1"/>
    </row>
    <row r="2" spans="1:15" ht="14.4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14.4" customHeight="1">
      <c r="A3" s="6" t="s">
        <v>41</v>
      </c>
      <c r="B3" s="5">
        <v>2023</v>
      </c>
      <c r="C3" s="5">
        <v>2024</v>
      </c>
      <c r="D3" s="5">
        <v>2025</v>
      </c>
      <c r="E3" s="5">
        <v>2026</v>
      </c>
      <c r="F3" s="5">
        <v>2027</v>
      </c>
      <c r="G3" s="5">
        <v>2028</v>
      </c>
      <c r="H3" s="5">
        <v>2029</v>
      </c>
      <c r="I3" s="5">
        <v>2030</v>
      </c>
      <c r="J3" s="1"/>
      <c r="K3" s="1"/>
      <c r="L3" s="1"/>
      <c r="M3" s="1"/>
      <c r="N3" s="1"/>
      <c r="O3" s="1"/>
    </row>
    <row r="4" spans="1:15" ht="14.4" customHeight="1">
      <c r="A4" s="1" t="s">
        <v>47</v>
      </c>
      <c r="B4" s="7">
        <v>18</v>
      </c>
      <c r="C4" s="7">
        <v>22</v>
      </c>
      <c r="D4" s="7">
        <v>28</v>
      </c>
      <c r="E4" s="12">
        <f>'Cash Flow'!E20</f>
        <v>62.590993150684952</v>
      </c>
      <c r="F4" s="12">
        <f>'Cash Flow'!F20</f>
        <v>113.77176301369869</v>
      </c>
      <c r="G4" s="12">
        <f>'Cash Flow'!G20</f>
        <v>177.45255506849318</v>
      </c>
      <c r="H4" s="12">
        <f>'Cash Flow'!H20</f>
        <v>251.57208516164394</v>
      </c>
      <c r="I4" s="12">
        <f>'Cash Flow'!I20</f>
        <v>337.22334547156169</v>
      </c>
      <c r="J4" s="1"/>
      <c r="K4" s="1"/>
      <c r="L4" s="1"/>
      <c r="M4" s="1"/>
      <c r="N4" s="1"/>
      <c r="O4" s="1"/>
    </row>
    <row r="5" spans="1:15" ht="14.4" customHeight="1">
      <c r="A5" s="1" t="s">
        <v>48</v>
      </c>
      <c r="B5" s="7">
        <v>30</v>
      </c>
      <c r="C5" s="7">
        <v>35</v>
      </c>
      <c r="D5" s="7">
        <v>42</v>
      </c>
      <c r="E5" s="12">
        <f>Schedules!E4</f>
        <v>46.849315068493155</v>
      </c>
      <c r="F5" s="12">
        <f>Schedules!F4</f>
        <v>50.72219178082193</v>
      </c>
      <c r="G5" s="12">
        <f>Schedules!G4</f>
        <v>53.870465753424682</v>
      </c>
      <c r="H5" s="12">
        <f>Schedules!H4</f>
        <v>57.670257534246595</v>
      </c>
      <c r="I5" s="12">
        <f>Schedules!I4</f>
        <v>61.151443989041127</v>
      </c>
      <c r="J5" s="1"/>
      <c r="K5" s="1"/>
      <c r="L5" s="1"/>
      <c r="M5" s="1"/>
      <c r="N5" s="1"/>
      <c r="O5" s="1"/>
    </row>
    <row r="6" spans="1:15" ht="14.4" customHeight="1">
      <c r="A6" s="1" t="s">
        <v>49</v>
      </c>
      <c r="B6" s="7">
        <v>8</v>
      </c>
      <c r="C6" s="7">
        <v>9</v>
      </c>
      <c r="D6" s="7">
        <v>10</v>
      </c>
      <c r="E6" s="12">
        <f>Schedules!E5</f>
        <v>11.400000000000002</v>
      </c>
      <c r="F6" s="12">
        <f>Schedules!F5</f>
        <v>12.768000000000004</v>
      </c>
      <c r="G6" s="12">
        <f>Schedules!G5</f>
        <v>14.044800000000006</v>
      </c>
      <c r="H6" s="12">
        <f>Schedules!H5</f>
        <v>15.308832000000008</v>
      </c>
      <c r="I6" s="12">
        <f>Schedules!I5</f>
        <v>16.533538560000007</v>
      </c>
      <c r="J6" s="1"/>
      <c r="K6" s="1"/>
      <c r="L6" s="1"/>
      <c r="M6" s="1"/>
      <c r="N6" s="1"/>
      <c r="O6" s="1"/>
    </row>
    <row r="7" spans="1:15" ht="14.4" customHeight="1">
      <c r="A7" s="1" t="s">
        <v>50</v>
      </c>
      <c r="B7" s="7">
        <v>5</v>
      </c>
      <c r="C7" s="7">
        <v>6</v>
      </c>
      <c r="D7" s="7">
        <v>7</v>
      </c>
      <c r="E7" s="12">
        <f>Schedules!E6</f>
        <v>7.9800000000000013</v>
      </c>
      <c r="F7" s="12">
        <f>Schedules!F6</f>
        <v>8.9376000000000033</v>
      </c>
      <c r="G7" s="12">
        <f>Schedules!G6</f>
        <v>9.8313600000000037</v>
      </c>
      <c r="H7" s="12">
        <f>Schedules!H6</f>
        <v>10.716182400000005</v>
      </c>
      <c r="I7" s="12">
        <f>Schedules!I6</f>
        <v>11.573476992000007</v>
      </c>
      <c r="J7" s="1"/>
      <c r="K7" s="1"/>
      <c r="L7" s="1"/>
      <c r="M7" s="1"/>
      <c r="N7" s="1"/>
      <c r="O7" s="1"/>
    </row>
    <row r="8" spans="1:15" ht="14.4" customHeight="1">
      <c r="A8" s="13" t="s">
        <v>70</v>
      </c>
      <c r="B8" s="14">
        <v>61</v>
      </c>
      <c r="C8" s="14">
        <v>72</v>
      </c>
      <c r="D8" s="14">
        <v>87</v>
      </c>
      <c r="E8" s="15">
        <f>SUM(E4:E7)</f>
        <v>128.82030821917812</v>
      </c>
      <c r="F8" s="15">
        <f>SUM(F4:F7)</f>
        <v>186.19955479452062</v>
      </c>
      <c r="G8" s="15">
        <f>SUM(G4:G7)</f>
        <v>255.19918082191788</v>
      </c>
      <c r="H8" s="15">
        <f>SUM(H4:H7)</f>
        <v>335.26735709589053</v>
      </c>
      <c r="I8" s="15">
        <f>SUM(I4:I7)</f>
        <v>426.48180501260282</v>
      </c>
      <c r="J8" s="1"/>
      <c r="K8" s="1"/>
      <c r="L8" s="1"/>
      <c r="M8" s="1"/>
      <c r="N8" s="1"/>
      <c r="O8" s="1"/>
    </row>
    <row r="9" spans="1:15" ht="14.4" customHeight="1">
      <c r="A9" s="1" t="s">
        <v>51</v>
      </c>
      <c r="B9" s="7">
        <v>45</v>
      </c>
      <c r="C9" s="7">
        <v>50</v>
      </c>
      <c r="D9" s="7">
        <v>57</v>
      </c>
      <c r="E9" s="12">
        <f>Schedules!E13</f>
        <v>64.125</v>
      </c>
      <c r="F9" s="12">
        <f>Schedules!F13</f>
        <v>70.509</v>
      </c>
      <c r="G9" s="12">
        <f>Schedules!G13</f>
        <v>75.775800000000004</v>
      </c>
      <c r="H9" s="12">
        <f>Schedules!H13</f>
        <v>79.603008000000003</v>
      </c>
      <c r="I9" s="12">
        <f>Schedules!I13</f>
        <v>83.736392640000005</v>
      </c>
      <c r="J9" s="1"/>
      <c r="K9" s="1"/>
      <c r="L9" s="1"/>
      <c r="M9" s="1"/>
      <c r="N9" s="1"/>
      <c r="O9" s="1"/>
    </row>
    <row r="10" spans="1:15" ht="14.4" customHeight="1">
      <c r="A10" s="1" t="s">
        <v>52</v>
      </c>
      <c r="B10" s="7">
        <v>9</v>
      </c>
      <c r="C10" s="7">
        <v>10</v>
      </c>
      <c r="D10" s="7">
        <v>11</v>
      </c>
      <c r="E10" s="12">
        <f>Schedules!E9</f>
        <v>12.825000000000003</v>
      </c>
      <c r="F10" s="12">
        <f>Schedules!F9</f>
        <v>14.364000000000004</v>
      </c>
      <c r="G10" s="12">
        <f>Schedules!G9</f>
        <v>15.800400000000005</v>
      </c>
      <c r="H10" s="12">
        <f>Schedules!H9</f>
        <v>17.222436000000005</v>
      </c>
      <c r="I10" s="12">
        <f>Schedules!I9</f>
        <v>18.600230880000009</v>
      </c>
      <c r="J10" s="1"/>
      <c r="K10" s="1"/>
      <c r="L10" s="1"/>
      <c r="M10" s="1"/>
      <c r="N10" s="1"/>
      <c r="O10" s="1"/>
    </row>
    <row r="11" spans="1:15" ht="14.4" customHeight="1">
      <c r="A11" s="13" t="s">
        <v>71</v>
      </c>
      <c r="B11" s="14">
        <v>115</v>
      </c>
      <c r="C11" s="14">
        <v>132</v>
      </c>
      <c r="D11" s="14">
        <v>155</v>
      </c>
      <c r="E11" s="15">
        <f>SUM(E8:E10)</f>
        <v>205.7703082191781</v>
      </c>
      <c r="F11" s="15">
        <f>SUM(F8:F10)</f>
        <v>271.07255479452067</v>
      </c>
      <c r="G11" s="15">
        <f>SUM(G8:G10)</f>
        <v>346.77538082191791</v>
      </c>
      <c r="H11" s="15">
        <f>SUM(H8:H10)</f>
        <v>432.09280109589054</v>
      </c>
      <c r="I11" s="15">
        <f>SUM(I8:I10)</f>
        <v>528.81842853260287</v>
      </c>
      <c r="J11" s="1"/>
      <c r="K11" s="1"/>
      <c r="L11" s="1"/>
      <c r="M11" s="1"/>
      <c r="N11" s="1"/>
      <c r="O11" s="1"/>
    </row>
    <row r="12" spans="1:15" ht="14.4" customHeight="1">
      <c r="A12" s="1" t="s">
        <v>53</v>
      </c>
      <c r="B12" s="7">
        <v>18</v>
      </c>
      <c r="C12" s="7">
        <v>21</v>
      </c>
      <c r="D12" s="7">
        <v>25</v>
      </c>
      <c r="E12" s="12">
        <f>Schedules!E7</f>
        <v>21.667808219178088</v>
      </c>
      <c r="F12" s="12">
        <f>Schedules!F7</f>
        <v>23.612054794520557</v>
      </c>
      <c r="G12" s="12">
        <f>Schedules!G7</f>
        <v>25.251780821917816</v>
      </c>
      <c r="H12" s="12">
        <f>Schedules!H7</f>
        <v>27.524441095890424</v>
      </c>
      <c r="I12" s="12">
        <f>Schedules!I7</f>
        <v>28.87707077260276</v>
      </c>
      <c r="J12" s="1"/>
      <c r="K12" s="1"/>
      <c r="L12" s="1"/>
      <c r="M12" s="1"/>
      <c r="N12" s="1"/>
      <c r="O12" s="1"/>
    </row>
    <row r="13" spans="1:15" ht="14.4" customHeight="1">
      <c r="A13" s="1" t="s">
        <v>54</v>
      </c>
      <c r="B13" s="7">
        <v>12</v>
      </c>
      <c r="C13" s="7">
        <v>14</v>
      </c>
      <c r="D13" s="7">
        <v>16</v>
      </c>
      <c r="E13" s="12">
        <f>Schedules!E8</f>
        <v>18.525000000000006</v>
      </c>
      <c r="F13" s="12">
        <f>Schedules!F8</f>
        <v>20.748000000000008</v>
      </c>
      <c r="G13" s="12">
        <f>Schedules!G8</f>
        <v>22.822800000000008</v>
      </c>
      <c r="H13" s="12">
        <f>Schedules!H8</f>
        <v>24.87685200000001</v>
      </c>
      <c r="I13" s="12">
        <f>Schedules!I8</f>
        <v>26.867000160000014</v>
      </c>
      <c r="J13" s="1"/>
      <c r="K13" s="1"/>
      <c r="L13" s="1"/>
      <c r="M13" s="1"/>
      <c r="N13" s="1"/>
      <c r="O13" s="1"/>
    </row>
    <row r="14" spans="1:15" ht="14.4" customHeight="1">
      <c r="A14" s="1" t="s">
        <v>27</v>
      </c>
      <c r="B14" s="7">
        <v>35</v>
      </c>
      <c r="C14" s="7">
        <v>38</v>
      </c>
      <c r="D14" s="7">
        <v>42</v>
      </c>
      <c r="E14" s="12">
        <f>Schedules!E14</f>
        <v>42</v>
      </c>
      <c r="F14" s="12">
        <f>Schedules!F14</f>
        <v>40</v>
      </c>
      <c r="G14" s="12">
        <f>Schedules!G14</f>
        <v>37</v>
      </c>
      <c r="H14" s="12">
        <f>Schedules!H14</f>
        <v>33</v>
      </c>
      <c r="I14" s="12">
        <f>Schedules!I14</f>
        <v>28</v>
      </c>
      <c r="J14" s="1"/>
      <c r="K14" s="1"/>
      <c r="L14" s="1"/>
      <c r="M14" s="1"/>
      <c r="N14" s="1"/>
      <c r="O14" s="1"/>
    </row>
    <row r="15" spans="1:15" ht="14.4" customHeight="1">
      <c r="A15" s="1" t="s">
        <v>55</v>
      </c>
      <c r="B15" s="7">
        <v>7</v>
      </c>
      <c r="C15" s="7">
        <v>8</v>
      </c>
      <c r="D15" s="7">
        <v>9</v>
      </c>
      <c r="E15" s="12">
        <f>Schedules!E10</f>
        <v>9.9750000000000032</v>
      </c>
      <c r="F15" s="12">
        <f>Schedules!F10</f>
        <v>11.172000000000004</v>
      </c>
      <c r="G15" s="12">
        <f>Schedules!G10</f>
        <v>12.289200000000005</v>
      </c>
      <c r="H15" s="12">
        <f>Schedules!H10</f>
        <v>13.395228000000007</v>
      </c>
      <c r="I15" s="12">
        <f>Schedules!I10</f>
        <v>14.46684624000001</v>
      </c>
      <c r="J15" s="1"/>
      <c r="K15" s="1"/>
      <c r="L15" s="1"/>
      <c r="M15" s="1"/>
      <c r="N15" s="1"/>
      <c r="O15" s="1"/>
    </row>
    <row r="16" spans="1:15" ht="14.4" customHeight="1">
      <c r="A16" s="13" t="s">
        <v>72</v>
      </c>
      <c r="B16" s="14">
        <v>72</v>
      </c>
      <c r="C16" s="14">
        <v>81</v>
      </c>
      <c r="D16" s="14">
        <v>92</v>
      </c>
      <c r="E16" s="15">
        <f>SUM(E12:E15)</f>
        <v>92.167808219178099</v>
      </c>
      <c r="F16" s="15">
        <f>SUM(F12:F15)</f>
        <v>95.532054794520576</v>
      </c>
      <c r="G16" s="15">
        <f>SUM(G12:G15)</f>
        <v>97.363780821917828</v>
      </c>
      <c r="H16" s="15">
        <f>SUM(H12:H15)</f>
        <v>98.796521095890441</v>
      </c>
      <c r="I16" s="15">
        <f>SUM(I12:I15)</f>
        <v>98.210917172602777</v>
      </c>
      <c r="J16" s="1"/>
      <c r="K16" s="1"/>
      <c r="L16" s="1"/>
      <c r="M16" s="1"/>
      <c r="N16" s="1"/>
      <c r="O16" s="1"/>
    </row>
    <row r="17" spans="1:15" ht="14.4" customHeight="1">
      <c r="A17" s="1" t="s">
        <v>56</v>
      </c>
      <c r="B17" s="7">
        <v>40</v>
      </c>
      <c r="C17" s="7">
        <v>40</v>
      </c>
      <c r="D17" s="7">
        <v>40</v>
      </c>
      <c r="E17" s="12">
        <f>D17</f>
        <v>40</v>
      </c>
      <c r="F17" s="12">
        <f>E17</f>
        <v>40</v>
      </c>
      <c r="G17" s="12">
        <f>F17</f>
        <v>40</v>
      </c>
      <c r="H17" s="12">
        <f>G17</f>
        <v>40</v>
      </c>
      <c r="I17" s="12">
        <f>H17</f>
        <v>40</v>
      </c>
      <c r="J17" s="1"/>
      <c r="K17" s="1"/>
      <c r="L17" s="1"/>
      <c r="M17" s="1"/>
      <c r="N17" s="1"/>
      <c r="O17" s="1"/>
    </row>
    <row r="18" spans="1:15" ht="14.4" customHeight="1">
      <c r="A18" s="1" t="s">
        <v>57</v>
      </c>
      <c r="B18" s="7">
        <v>3</v>
      </c>
      <c r="C18" s="7">
        <v>11</v>
      </c>
      <c r="D18" s="7">
        <v>23</v>
      </c>
      <c r="E18" s="12">
        <f>D18+'Income Statement'!E14</f>
        <v>73.602500000000006</v>
      </c>
      <c r="F18" s="12">
        <f>E18+'Income Statement'!F14</f>
        <v>135.54050000000004</v>
      </c>
      <c r="G18" s="12">
        <f>F18+'Income Statement'!G14</f>
        <v>209.41160000000005</v>
      </c>
      <c r="H18" s="12">
        <f>G18+'Income Statement'!H14</f>
        <v>293.29628000000008</v>
      </c>
      <c r="I18" s="12">
        <f>H18+'Income Statement'!I14</f>
        <v>390.6075113600001</v>
      </c>
      <c r="J18" s="1"/>
      <c r="K18" s="1"/>
      <c r="L18" s="1"/>
      <c r="M18" s="1"/>
      <c r="N18" s="1"/>
      <c r="O18" s="1"/>
    </row>
    <row r="19" spans="1:15" ht="14.4" customHeight="1">
      <c r="A19" s="13" t="s">
        <v>73</v>
      </c>
      <c r="B19" s="14">
        <v>43</v>
      </c>
      <c r="C19" s="14">
        <v>51</v>
      </c>
      <c r="D19" s="14">
        <v>63</v>
      </c>
      <c r="E19" s="15">
        <f>SUM(E17:E18)</f>
        <v>113.60250000000001</v>
      </c>
      <c r="F19" s="15">
        <f>SUM(F17:F18)</f>
        <v>175.54050000000004</v>
      </c>
      <c r="G19" s="15">
        <f>SUM(G17:G18)</f>
        <v>249.41160000000005</v>
      </c>
      <c r="H19" s="15">
        <f>SUM(H17:H18)</f>
        <v>333.29628000000008</v>
      </c>
      <c r="I19" s="15">
        <f>SUM(I17:I18)</f>
        <v>430.6075113600001</v>
      </c>
      <c r="J19" s="1"/>
      <c r="K19" s="1"/>
      <c r="L19" s="1"/>
      <c r="M19" s="1"/>
      <c r="N19" s="1"/>
      <c r="O19" s="1"/>
    </row>
    <row r="20" spans="1:15" ht="14.4" customHeight="1">
      <c r="A20" s="13" t="s">
        <v>74</v>
      </c>
      <c r="B20" s="14">
        <v>115</v>
      </c>
      <c r="C20" s="14">
        <v>132</v>
      </c>
      <c r="D20" s="14">
        <v>155</v>
      </c>
      <c r="E20" s="15">
        <f>SUM(E16,E19)</f>
        <v>205.7703082191781</v>
      </c>
      <c r="F20" s="15">
        <f>SUM(F16,F19)</f>
        <v>271.07255479452061</v>
      </c>
      <c r="G20" s="15">
        <f>SUM(G16,G19)</f>
        <v>346.77538082191791</v>
      </c>
      <c r="H20" s="15">
        <f>SUM(H16,H19)</f>
        <v>432.09280109589054</v>
      </c>
      <c r="I20" s="15">
        <f>SUM(I16,I19)</f>
        <v>528.81842853260287</v>
      </c>
      <c r="J20" s="1"/>
      <c r="K20" s="1"/>
      <c r="L20" s="1"/>
      <c r="M20" s="1"/>
      <c r="N20" s="1"/>
      <c r="O20" s="1"/>
    </row>
    <row r="21" spans="1:15" ht="14.4" customHeight="1">
      <c r="A21" s="13" t="s">
        <v>75</v>
      </c>
      <c r="B21" s="14">
        <v>0</v>
      </c>
      <c r="C21" s="14">
        <v>0</v>
      </c>
      <c r="D21" s="14">
        <v>0</v>
      </c>
      <c r="E21" s="15">
        <f>E11-E20</f>
        <v>0</v>
      </c>
      <c r="F21" s="15">
        <f>F11-F20</f>
        <v>0</v>
      </c>
      <c r="G21" s="15">
        <f>G11-G20</f>
        <v>0</v>
      </c>
      <c r="H21" s="15">
        <f>H11-H20</f>
        <v>0</v>
      </c>
      <c r="I21" s="15">
        <f>I11-I20</f>
        <v>0</v>
      </c>
      <c r="J21" s="1"/>
      <c r="K21" s="1"/>
      <c r="L21" s="1"/>
      <c r="M21" s="1"/>
      <c r="N21" s="1"/>
      <c r="O21" s="1"/>
    </row>
    <row r="22" spans="1:15" ht="14.4" customHeight="1">
      <c r="A22" s="1"/>
      <c r="B22" s="7"/>
      <c r="C22" s="7"/>
      <c r="D22" s="7"/>
      <c r="E22" s="12"/>
      <c r="F22" s="12"/>
      <c r="G22" s="12"/>
      <c r="H22" s="12"/>
      <c r="I22" s="12"/>
      <c r="J22" s="1"/>
      <c r="K22" s="1"/>
      <c r="L22" s="1"/>
      <c r="M22" s="1"/>
      <c r="N22" s="1"/>
      <c r="O22" s="1"/>
    </row>
    <row r="23" spans="1:15" ht="14.4" customHeight="1">
      <c r="A23" s="1"/>
      <c r="B23" s="7"/>
      <c r="C23" s="7"/>
      <c r="D23" s="7"/>
      <c r="E23" s="12"/>
      <c r="F23" s="12"/>
      <c r="G23" s="12"/>
      <c r="H23" s="12"/>
      <c r="I23" s="12"/>
      <c r="J23" s="1"/>
      <c r="K23" s="1"/>
      <c r="L23" s="1"/>
      <c r="M23" s="1"/>
      <c r="N23" s="1"/>
      <c r="O23" s="1"/>
    </row>
    <row r="24" spans="1:15" ht="14.4" customHeight="1">
      <c r="A24" s="1"/>
      <c r="B24" s="7"/>
      <c r="C24" s="7"/>
      <c r="D24" s="7"/>
      <c r="E24" s="12"/>
      <c r="F24" s="12"/>
      <c r="G24" s="12"/>
      <c r="H24" s="12"/>
      <c r="I24" s="12"/>
      <c r="J24" s="1"/>
      <c r="K24" s="1"/>
      <c r="L24" s="1"/>
      <c r="M24" s="1"/>
      <c r="N24" s="1"/>
      <c r="O24" s="1"/>
    </row>
    <row r="25" spans="1:15" ht="14.4" customHeight="1">
      <c r="A25" s="1"/>
      <c r="B25" s="7"/>
      <c r="C25" s="7"/>
      <c r="D25" s="7"/>
      <c r="E25" s="12"/>
      <c r="F25" s="12"/>
      <c r="G25" s="12"/>
      <c r="H25" s="12"/>
      <c r="I25" s="12"/>
      <c r="J25" s="1"/>
      <c r="K25" s="1"/>
      <c r="L25" s="1"/>
      <c r="M25" s="1"/>
      <c r="N25" s="1"/>
      <c r="O25" s="1"/>
    </row>
    <row r="26" spans="1:15" ht="14.4" customHeight="1">
      <c r="A26" s="1"/>
      <c r="B26" s="7"/>
      <c r="C26" s="7"/>
      <c r="D26" s="7"/>
      <c r="E26" s="12"/>
      <c r="F26" s="12"/>
      <c r="G26" s="12"/>
      <c r="H26" s="12"/>
      <c r="I26" s="12"/>
      <c r="J26" s="1"/>
      <c r="K26" s="1"/>
      <c r="L26" s="1"/>
      <c r="M26" s="1"/>
      <c r="N26" s="1"/>
      <c r="O26" s="1"/>
    </row>
    <row r="27" spans="1:15" ht="14.4" customHeight="1">
      <c r="A27" s="1"/>
      <c r="B27" s="7"/>
      <c r="C27" s="7"/>
      <c r="D27" s="7"/>
      <c r="E27" s="12"/>
      <c r="F27" s="12"/>
      <c r="G27" s="12"/>
      <c r="H27" s="12"/>
      <c r="I27" s="12"/>
      <c r="J27" s="1"/>
      <c r="K27" s="1"/>
      <c r="L27" s="1"/>
      <c r="M27" s="1"/>
      <c r="N27" s="1"/>
      <c r="O27" s="1"/>
    </row>
    <row r="28" spans="1:15" ht="14.4" customHeight="1">
      <c r="A28" s="1"/>
      <c r="B28" s="7"/>
      <c r="C28" s="7"/>
      <c r="D28" s="7"/>
      <c r="E28" s="12"/>
      <c r="F28" s="12"/>
      <c r="G28" s="12"/>
      <c r="H28" s="12"/>
      <c r="I28" s="12"/>
      <c r="J28" s="1"/>
      <c r="K28" s="1"/>
      <c r="L28" s="1"/>
      <c r="M28" s="1"/>
      <c r="N28" s="1"/>
      <c r="O28" s="1"/>
    </row>
    <row r="29" spans="1:15" ht="14.4" customHeight="1">
      <c r="A29" s="1"/>
      <c r="B29" s="7"/>
      <c r="C29" s="7"/>
      <c r="D29" s="7"/>
      <c r="E29" s="12"/>
      <c r="F29" s="12"/>
      <c r="G29" s="12"/>
      <c r="H29" s="12"/>
      <c r="I29" s="12"/>
      <c r="J29" s="1"/>
      <c r="K29" s="1"/>
      <c r="L29" s="1"/>
      <c r="M29" s="1"/>
      <c r="N29" s="1"/>
      <c r="O29" s="1"/>
    </row>
    <row r="30" spans="1:15" ht="14.4" customHeight="1">
      <c r="A30" s="1"/>
      <c r="B30" s="7"/>
      <c r="C30" s="7"/>
      <c r="D30" s="7"/>
      <c r="E30" s="12"/>
      <c r="F30" s="12"/>
      <c r="G30" s="12"/>
      <c r="H30" s="12"/>
      <c r="I30" s="12"/>
      <c r="J30" s="1"/>
      <c r="K30" s="1"/>
      <c r="L30" s="1"/>
      <c r="M30" s="1"/>
      <c r="N30" s="1"/>
      <c r="O30" s="1"/>
    </row>
    <row r="31" spans="1:15" ht="14.4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14.4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14.4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14.4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14.4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14.4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14.4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14.4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14.4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14.4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</sheetData>
  <mergeCells count="1">
    <mergeCell ref="A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40"/>
  <sheetViews>
    <sheetView workbookViewId="0">
      <selection activeCell="E6" sqref="E6"/>
    </sheetView>
  </sheetViews>
  <sheetFormatPr defaultRowHeight="13.8"/>
  <cols>
    <col min="1" max="1" width="30" customWidth="1"/>
    <col min="2" max="15" width="13" customWidth="1"/>
  </cols>
  <sheetData>
    <row r="1" spans="1:15" ht="20.85" customHeight="1">
      <c r="A1" s="22" t="s">
        <v>76</v>
      </c>
      <c r="B1" s="22"/>
      <c r="C1" s="22"/>
      <c r="D1" s="22"/>
      <c r="E1" s="22"/>
      <c r="F1" s="22"/>
      <c r="G1" s="22"/>
      <c r="H1" s="22"/>
      <c r="I1" s="22"/>
      <c r="J1" s="1"/>
      <c r="K1" s="1"/>
      <c r="L1" s="1"/>
      <c r="M1" s="1"/>
      <c r="N1" s="1"/>
      <c r="O1" s="1"/>
    </row>
    <row r="2" spans="1:15" ht="14.4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14.4" customHeight="1">
      <c r="A3" s="6" t="s">
        <v>41</v>
      </c>
      <c r="B3" s="5">
        <v>2023</v>
      </c>
      <c r="C3" s="5">
        <v>2024</v>
      </c>
      <c r="D3" s="5">
        <v>2025</v>
      </c>
      <c r="E3" s="5">
        <v>2026</v>
      </c>
      <c r="F3" s="5">
        <v>2027</v>
      </c>
      <c r="G3" s="5">
        <v>2028</v>
      </c>
      <c r="H3" s="5">
        <v>2029</v>
      </c>
      <c r="I3" s="5">
        <v>2030</v>
      </c>
      <c r="J3" s="1"/>
      <c r="K3" s="1"/>
      <c r="L3" s="1"/>
      <c r="M3" s="1"/>
      <c r="N3" s="1"/>
      <c r="O3" s="1"/>
    </row>
    <row r="4" spans="1:15" ht="14.4" customHeight="1">
      <c r="A4" s="1" t="s">
        <v>68</v>
      </c>
      <c r="B4" s="12">
        <f>'Income Statement'!B14</f>
        <v>20.25</v>
      </c>
      <c r="C4" s="12">
        <f>'Income Statement'!C14</f>
        <v>28.5</v>
      </c>
      <c r="D4" s="12">
        <f>'Income Statement'!D14</f>
        <v>39.75</v>
      </c>
      <c r="E4" s="12">
        <f>'Income Statement'!E14</f>
        <v>50.602500000000006</v>
      </c>
      <c r="F4" s="12">
        <f>'Income Statement'!F14</f>
        <v>61.938000000000024</v>
      </c>
      <c r="G4" s="12">
        <f>'Income Statement'!G14</f>
        <v>73.871100000000013</v>
      </c>
      <c r="H4" s="12">
        <f>'Income Statement'!H14</f>
        <v>83.884680000000031</v>
      </c>
      <c r="I4" s="12">
        <f>'Income Statement'!I14</f>
        <v>97.311231360000036</v>
      </c>
      <c r="J4" s="1"/>
      <c r="K4" s="1"/>
      <c r="L4" s="1"/>
      <c r="M4" s="1"/>
      <c r="N4" s="1"/>
      <c r="O4" s="1"/>
    </row>
    <row r="5" spans="1:15" ht="14.4" customHeight="1">
      <c r="A5" s="1" t="s">
        <v>45</v>
      </c>
      <c r="B5" s="7">
        <v>8</v>
      </c>
      <c r="C5" s="7">
        <v>9</v>
      </c>
      <c r="D5" s="7">
        <v>10</v>
      </c>
      <c r="E5" s="12">
        <f>-Schedules!E9</f>
        <v>-12.825000000000003</v>
      </c>
      <c r="F5" s="12">
        <f>-Schedules!F9</f>
        <v>-14.364000000000004</v>
      </c>
      <c r="G5" s="12">
        <f>-Schedules!G9</f>
        <v>-15.800400000000005</v>
      </c>
      <c r="H5" s="12">
        <f>-Schedules!H9</f>
        <v>-17.222436000000005</v>
      </c>
      <c r="I5" s="12">
        <f>-Schedules!I9</f>
        <v>-18.600230880000009</v>
      </c>
      <c r="J5" s="1"/>
      <c r="K5" s="1"/>
      <c r="L5" s="1"/>
      <c r="M5" s="1"/>
      <c r="N5" s="1"/>
      <c r="O5" s="1"/>
    </row>
    <row r="6" spans="1:15" ht="14.4" customHeight="1">
      <c r="A6" s="1" t="s">
        <v>77</v>
      </c>
      <c r="B6" s="7" t="s">
        <v>61</v>
      </c>
      <c r="C6" s="7">
        <v>-5</v>
      </c>
      <c r="D6" s="7">
        <v>-7</v>
      </c>
      <c r="E6" s="12">
        <f>-(Schedules!E4-Schedules!D4)</f>
        <v>-4.849315068493155</v>
      </c>
      <c r="F6" s="12">
        <f>-(Schedules!F4-Schedules!E4)</f>
        <v>-3.8728767123287753</v>
      </c>
      <c r="G6" s="12">
        <f>-(Schedules!G4-Schedules!F4)</f>
        <v>-3.1482739726027518</v>
      </c>
      <c r="H6" s="12">
        <f>-(Schedules!H4-Schedules!G4)</f>
        <v>-3.7997917808219128</v>
      </c>
      <c r="I6" s="12">
        <f>-(Schedules!I4-Schedules!H4)</f>
        <v>-3.4811864547945319</v>
      </c>
      <c r="J6" s="1"/>
      <c r="K6" s="1"/>
      <c r="L6" s="1"/>
      <c r="M6" s="1"/>
      <c r="N6" s="1"/>
      <c r="O6" s="1"/>
    </row>
    <row r="7" spans="1:15" ht="14.4" customHeight="1">
      <c r="A7" s="1" t="s">
        <v>78</v>
      </c>
      <c r="B7" s="7" t="s">
        <v>61</v>
      </c>
      <c r="C7" s="7">
        <v>-1</v>
      </c>
      <c r="D7" s="7">
        <v>-1</v>
      </c>
      <c r="E7" s="12">
        <f>-(Schedules!E5-Schedules!D5)</f>
        <v>-1.4000000000000021</v>
      </c>
      <c r="F7" s="12">
        <f>-(Schedules!F5-Schedules!E5)</f>
        <v>-1.3680000000000021</v>
      </c>
      <c r="G7" s="12">
        <f>-(Schedules!G5-Schedules!F5)</f>
        <v>-1.2768000000000015</v>
      </c>
      <c r="H7" s="12">
        <f>-(Schedules!H5-Schedules!G5)</f>
        <v>-1.264032000000002</v>
      </c>
      <c r="I7" s="12">
        <f>-(Schedules!I5-Schedules!H5)</f>
        <v>-1.2247065599999996</v>
      </c>
      <c r="J7" s="1"/>
      <c r="K7" s="1"/>
      <c r="L7" s="1"/>
      <c r="M7" s="1"/>
      <c r="N7" s="1"/>
      <c r="O7" s="1"/>
    </row>
    <row r="8" spans="1:15" ht="14.4" customHeight="1">
      <c r="A8" s="1" t="s">
        <v>79</v>
      </c>
      <c r="B8" s="7" t="s">
        <v>61</v>
      </c>
      <c r="C8" s="7">
        <v>-1</v>
      </c>
      <c r="D8" s="7">
        <v>-1</v>
      </c>
      <c r="E8" s="12">
        <f>-(Schedules!E6-Schedules!D6)</f>
        <v>-0.98000000000000131</v>
      </c>
      <c r="F8" s="12">
        <f>-(Schedules!F6-Schedules!E6)</f>
        <v>-0.95760000000000201</v>
      </c>
      <c r="G8" s="12">
        <f>-(Schedules!G6-Schedules!F6)</f>
        <v>-0.89376000000000033</v>
      </c>
      <c r="H8" s="12">
        <f>-(Schedules!H6-Schedules!G6)</f>
        <v>-0.8848224000000009</v>
      </c>
      <c r="I8" s="12">
        <f>-(Schedules!I6-Schedules!H6)</f>
        <v>-0.85729459200000235</v>
      </c>
      <c r="J8" s="1"/>
      <c r="K8" s="1"/>
      <c r="L8" s="1"/>
      <c r="M8" s="1"/>
      <c r="N8" s="1"/>
      <c r="O8" s="1"/>
    </row>
    <row r="9" spans="1:15" ht="14.4" customHeight="1">
      <c r="A9" s="1" t="s">
        <v>80</v>
      </c>
      <c r="B9" s="7" t="s">
        <v>61</v>
      </c>
      <c r="C9" s="7">
        <v>3</v>
      </c>
      <c r="D9" s="7">
        <v>4</v>
      </c>
      <c r="E9" s="12">
        <f>Schedules!E7-Schedules!D7</f>
        <v>-3.3321917808219119</v>
      </c>
      <c r="F9" s="12">
        <f>Schedules!F7-Schedules!E7</f>
        <v>1.9442465753424685</v>
      </c>
      <c r="G9" s="12">
        <f>Schedules!G7-Schedules!F7</f>
        <v>1.6397260273972591</v>
      </c>
      <c r="H9" s="12">
        <f>Schedules!H7-Schedules!G7</f>
        <v>2.2726602739726083</v>
      </c>
      <c r="I9" s="12">
        <f>Schedules!I7-Schedules!H7</f>
        <v>1.3526296767123362</v>
      </c>
      <c r="J9" s="1"/>
      <c r="K9" s="1"/>
      <c r="L9" s="1"/>
      <c r="M9" s="1"/>
      <c r="N9" s="1"/>
      <c r="O9" s="1"/>
    </row>
    <row r="10" spans="1:15" ht="14.4" customHeight="1">
      <c r="A10" s="1" t="s">
        <v>81</v>
      </c>
      <c r="B10" s="7" t="s">
        <v>61</v>
      </c>
      <c r="C10" s="7">
        <v>2</v>
      </c>
      <c r="D10" s="7">
        <v>2</v>
      </c>
      <c r="E10" s="12">
        <f>Schedules!E8-Schedules!D8</f>
        <v>2.5250000000000057</v>
      </c>
      <c r="F10" s="12">
        <f>Schedules!F8-Schedules!E8</f>
        <v>2.2230000000000025</v>
      </c>
      <c r="G10" s="12">
        <f>Schedules!G8-Schedules!F8</f>
        <v>2.0747999999999998</v>
      </c>
      <c r="H10" s="12">
        <f>Schedules!H8-Schedules!G8</f>
        <v>2.0540520000000022</v>
      </c>
      <c r="I10" s="12">
        <f>Schedules!I8-Schedules!H8</f>
        <v>1.9901481600000039</v>
      </c>
      <c r="J10" s="1"/>
      <c r="K10" s="1"/>
      <c r="L10" s="1"/>
      <c r="M10" s="1"/>
      <c r="N10" s="1"/>
      <c r="O10" s="1"/>
    </row>
    <row r="11" spans="1:15" ht="14.4" customHeight="1">
      <c r="A11" s="1" t="s">
        <v>82</v>
      </c>
      <c r="B11" s="7" t="s">
        <v>61</v>
      </c>
      <c r="C11" s="7">
        <v>-1</v>
      </c>
      <c r="D11" s="7">
        <v>-1</v>
      </c>
      <c r="E11" s="12">
        <f>-(Schedules!E9-Schedules!D9)</f>
        <v>-1.8250000000000028</v>
      </c>
      <c r="F11" s="12">
        <f>-(Schedules!F9-Schedules!E9)</f>
        <v>-1.5390000000000015</v>
      </c>
      <c r="G11" s="12">
        <f>-(Schedules!G9-Schedules!F9)</f>
        <v>-1.4364000000000008</v>
      </c>
      <c r="H11" s="12">
        <f>-(Schedules!H9-Schedules!G9)</f>
        <v>-1.4220360000000003</v>
      </c>
      <c r="I11" s="12">
        <f>-(Schedules!I9-Schedules!H9)</f>
        <v>-1.3777948800000033</v>
      </c>
      <c r="J11" s="1"/>
      <c r="K11" s="1"/>
      <c r="L11" s="1"/>
      <c r="M11" s="1"/>
      <c r="N11" s="1"/>
      <c r="O11" s="1"/>
    </row>
    <row r="12" spans="1:15" ht="14.4" customHeight="1">
      <c r="A12" s="1" t="s">
        <v>83</v>
      </c>
      <c r="B12" s="7" t="s">
        <v>61</v>
      </c>
      <c r="C12" s="7">
        <v>1</v>
      </c>
      <c r="D12" s="7">
        <v>1</v>
      </c>
      <c r="E12" s="12">
        <f>Schedules!E10-Schedules!D10</f>
        <v>0.9750000000000032</v>
      </c>
      <c r="F12" s="12">
        <f>Schedules!F10-Schedules!E10</f>
        <v>1.197000000000001</v>
      </c>
      <c r="G12" s="12">
        <f>Schedules!G10-Schedules!F10</f>
        <v>1.1172000000000004</v>
      </c>
      <c r="H12" s="12">
        <f>Schedules!H10-Schedules!G10</f>
        <v>1.106028000000002</v>
      </c>
      <c r="I12" s="12">
        <f>Schedules!I10-Schedules!H10</f>
        <v>1.0716182400000029</v>
      </c>
      <c r="J12" s="1"/>
      <c r="K12" s="1"/>
      <c r="L12" s="1"/>
      <c r="M12" s="1"/>
      <c r="N12" s="1"/>
      <c r="O12" s="1"/>
    </row>
    <row r="13" spans="1:15" ht="14.4" customHeight="1">
      <c r="A13" s="13" t="s">
        <v>84</v>
      </c>
      <c r="B13" s="14" t="s">
        <v>61</v>
      </c>
      <c r="C13" s="14">
        <v>35.5</v>
      </c>
      <c r="D13" s="14">
        <v>46.75</v>
      </c>
      <c r="E13" s="15">
        <f>SUM(E4:E12)</f>
        <v>28.890993150684942</v>
      </c>
      <c r="F13" s="15">
        <f>SUM(F4:F12)</f>
        <v>45.200769863013718</v>
      </c>
      <c r="G13" s="15">
        <f>SUM(G4:G12)</f>
        <v>56.147192054794516</v>
      </c>
      <c r="H13" s="15">
        <f>SUM(H4:H12)</f>
        <v>64.724302093150726</v>
      </c>
      <c r="I13" s="15">
        <f>SUM(I4:I12)</f>
        <v>76.184414069917821</v>
      </c>
      <c r="J13" s="1"/>
      <c r="K13" s="1"/>
      <c r="L13" s="1"/>
      <c r="M13" s="1"/>
      <c r="N13" s="1"/>
      <c r="O13" s="1"/>
    </row>
    <row r="14" spans="1:15" ht="14.4" customHeight="1">
      <c r="A14" s="1" t="s">
        <v>58</v>
      </c>
      <c r="B14" s="7">
        <v>-12</v>
      </c>
      <c r="C14" s="7">
        <v>-14</v>
      </c>
      <c r="D14" s="7">
        <v>-17</v>
      </c>
      <c r="E14" s="12">
        <f>Schedules!E11</f>
        <v>-18.525000000000006</v>
      </c>
      <c r="F14" s="12">
        <f>Schedules!F11</f>
        <v>-19.152000000000005</v>
      </c>
      <c r="G14" s="12">
        <f>Schedules!G11</f>
        <v>-19.311600000000006</v>
      </c>
      <c r="H14" s="12">
        <f>Schedules!H11</f>
        <v>-19.136040000000008</v>
      </c>
      <c r="I14" s="12">
        <f>Schedules!I11</f>
        <v>-20.666923200000014</v>
      </c>
      <c r="J14" s="1"/>
      <c r="K14" s="1"/>
      <c r="L14" s="1"/>
      <c r="M14" s="1"/>
      <c r="N14" s="1"/>
      <c r="O14" s="1"/>
    </row>
    <row r="15" spans="1:15" ht="14.4" customHeight="1">
      <c r="A15" s="13" t="s">
        <v>85</v>
      </c>
      <c r="B15" s="14">
        <v>-12</v>
      </c>
      <c r="C15" s="14">
        <v>-14</v>
      </c>
      <c r="D15" s="14">
        <v>-17</v>
      </c>
      <c r="E15" s="15">
        <f>E14</f>
        <v>-18.525000000000006</v>
      </c>
      <c r="F15" s="15">
        <f>F14</f>
        <v>-19.152000000000005</v>
      </c>
      <c r="G15" s="15">
        <f>G14</f>
        <v>-19.311600000000006</v>
      </c>
      <c r="H15" s="15">
        <f>H14</f>
        <v>-19.136040000000008</v>
      </c>
      <c r="I15" s="15">
        <f>I14</f>
        <v>-20.666923200000014</v>
      </c>
      <c r="J15" s="1"/>
      <c r="K15" s="1"/>
      <c r="L15" s="1"/>
      <c r="M15" s="1"/>
      <c r="N15" s="1"/>
      <c r="O15" s="1"/>
    </row>
    <row r="16" spans="1:15" ht="14.4" customHeight="1">
      <c r="A16" s="1" t="s">
        <v>86</v>
      </c>
      <c r="B16" s="7" t="s">
        <v>61</v>
      </c>
      <c r="C16" s="7">
        <v>3</v>
      </c>
      <c r="D16" s="7">
        <v>4</v>
      </c>
      <c r="E16" s="12">
        <f>Schedules!E14-Schedules!D14</f>
        <v>0</v>
      </c>
      <c r="F16" s="12">
        <f>Schedules!F14-Schedules!E14</f>
        <v>-2</v>
      </c>
      <c r="G16" s="12">
        <f>Schedules!G14-Schedules!F14</f>
        <v>-3</v>
      </c>
      <c r="H16" s="12">
        <f>Schedules!H14-Schedules!G14</f>
        <v>-4</v>
      </c>
      <c r="I16" s="12">
        <f>Schedules!I14-Schedules!H14</f>
        <v>-5</v>
      </c>
      <c r="J16" s="1"/>
      <c r="K16" s="1"/>
      <c r="L16" s="1"/>
      <c r="M16" s="1"/>
      <c r="N16" s="1"/>
      <c r="O16" s="1"/>
    </row>
    <row r="17" spans="1:15" ht="14.4" customHeight="1">
      <c r="A17" s="13" t="s">
        <v>87</v>
      </c>
      <c r="B17" s="14" t="s">
        <v>61</v>
      </c>
      <c r="C17" s="14">
        <v>3</v>
      </c>
      <c r="D17" s="14">
        <v>4</v>
      </c>
      <c r="E17" s="15">
        <f>((Schedules!E7+Schedules!E8+Schedules!E14+Schedules!E10)+('Balance Sheet'!D17+('Balance Sheet'!D18+'Income Statement'!E14))-Schedules!E4-Schedules!E5-Schedules!E6-Schedules!E13-Schedules!E9)-D20-E13-E15</f>
        <v>24.225000000000016</v>
      </c>
      <c r="F17" s="15">
        <f>((Schedules!F7+Schedules!F8+Schedules!F14+Schedules!F10)+('Balance Sheet'!E17+('Balance Sheet'!E18+'Income Statement'!F14))-Schedules!F4-Schedules!F5-Schedules!F6-Schedules!F13-Schedules!F9)-E20-F13-F15</f>
        <v>25.132000000000023</v>
      </c>
      <c r="G17" s="15">
        <f>((Schedules!G7+Schedules!G8+Schedules!G14+Schedules!G10)+('Balance Sheet'!F17+('Balance Sheet'!F18+'Income Statement'!G14))-Schedules!G4-Schedules!G5-Schedules!G6-Schedules!G13-Schedules!G9)-F20-G13-G15</f>
        <v>26.845199999999984</v>
      </c>
      <c r="H17" s="15">
        <f>((Schedules!H7+Schedules!H8+Schedules!H14+Schedules!H10)+('Balance Sheet'!G17+('Balance Sheet'!G18+'Income Statement'!H14))-Schedules!H4-Schedules!H5-Schedules!H6-Schedules!H13-Schedules!H9)-G20-H13-H15</f>
        <v>28.53126800000004</v>
      </c>
      <c r="I17" s="15">
        <f>((Schedules!I7+Schedules!I8+Schedules!I14+Schedules!I10)+('Balance Sheet'!H17+('Balance Sheet'!H18+'Income Statement'!I14))-Schedules!I4-Schedules!I5-Schedules!I6-Schedules!I13-Schedules!I9)-H20-I13-I15</f>
        <v>30.133769439999938</v>
      </c>
      <c r="J17" s="1"/>
      <c r="K17" s="1"/>
      <c r="L17" s="1"/>
      <c r="M17" s="1"/>
      <c r="N17" s="1"/>
      <c r="O17" s="1"/>
    </row>
    <row r="18" spans="1:15" ht="14.4" customHeight="1">
      <c r="A18" s="13" t="s">
        <v>88</v>
      </c>
      <c r="B18" s="14" t="s">
        <v>61</v>
      </c>
      <c r="C18" s="14">
        <v>24.5</v>
      </c>
      <c r="D18" s="14">
        <v>33.75</v>
      </c>
      <c r="E18" s="15">
        <f>SUM(E13,E15,E17)</f>
        <v>34.590993150684952</v>
      </c>
      <c r="F18" s="15">
        <f>SUM(F13,F15,F17)</f>
        <v>51.180769863013737</v>
      </c>
      <c r="G18" s="15">
        <f>SUM(G13,G15,G17)</f>
        <v>63.680792054794495</v>
      </c>
      <c r="H18" s="15">
        <f>SUM(H13,H15,H17)</f>
        <v>74.119530093150757</v>
      </c>
      <c r="I18" s="15">
        <f>SUM(I13,I15,I17)</f>
        <v>85.651260309917745</v>
      </c>
      <c r="J18" s="1"/>
      <c r="K18" s="1"/>
      <c r="L18" s="1"/>
      <c r="M18" s="1"/>
      <c r="N18" s="1"/>
      <c r="O18" s="1"/>
    </row>
    <row r="19" spans="1:15" ht="14.4" customHeight="1">
      <c r="A19" s="1" t="s">
        <v>89</v>
      </c>
      <c r="B19" s="7" t="s">
        <v>61</v>
      </c>
      <c r="C19" s="7">
        <v>18</v>
      </c>
      <c r="D19" s="7">
        <v>22</v>
      </c>
      <c r="E19" s="12">
        <f>D20</f>
        <v>28</v>
      </c>
      <c r="F19" s="12">
        <f>E20</f>
        <v>62.590993150684952</v>
      </c>
      <c r="G19" s="12">
        <f>F20</f>
        <v>113.77176301369869</v>
      </c>
      <c r="H19" s="12">
        <f>G20</f>
        <v>177.45255506849318</v>
      </c>
      <c r="I19" s="12">
        <f>H20</f>
        <v>251.57208516164394</v>
      </c>
      <c r="J19" s="1"/>
      <c r="K19" s="1"/>
      <c r="L19" s="1"/>
      <c r="M19" s="1"/>
      <c r="N19" s="1"/>
      <c r="O19" s="1"/>
    </row>
    <row r="20" spans="1:15" ht="14.4" customHeight="1">
      <c r="A20" s="13" t="s">
        <v>90</v>
      </c>
      <c r="B20" s="14">
        <v>18</v>
      </c>
      <c r="C20" s="14">
        <v>22</v>
      </c>
      <c r="D20" s="14">
        <v>28</v>
      </c>
      <c r="E20" s="15">
        <f>SUM(E18:E19)</f>
        <v>62.590993150684952</v>
      </c>
      <c r="F20" s="15">
        <f>SUM(F18:F19)</f>
        <v>113.77176301369869</v>
      </c>
      <c r="G20" s="15">
        <f>SUM(G18:G19)</f>
        <v>177.45255506849318</v>
      </c>
      <c r="H20" s="15">
        <f>SUM(H18:H19)</f>
        <v>251.57208516164394</v>
      </c>
      <c r="I20" s="15">
        <f>SUM(I18:I19)</f>
        <v>337.22334547156169</v>
      </c>
      <c r="J20" s="1"/>
      <c r="K20" s="1"/>
      <c r="L20" s="1"/>
      <c r="M20" s="1"/>
      <c r="N20" s="1"/>
      <c r="O20" s="1"/>
    </row>
    <row r="21" spans="1:15" ht="14.4" customHeight="1">
      <c r="A21" s="1"/>
      <c r="B21" s="7"/>
      <c r="C21" s="7"/>
      <c r="D21" s="7"/>
      <c r="E21" s="12"/>
      <c r="F21" s="12"/>
      <c r="G21" s="12"/>
      <c r="H21" s="12"/>
      <c r="I21" s="12"/>
      <c r="J21" s="1"/>
      <c r="K21" s="1"/>
      <c r="L21" s="1"/>
      <c r="M21" s="1"/>
      <c r="N21" s="1"/>
      <c r="O21" s="1"/>
    </row>
    <row r="22" spans="1:15" ht="14.4" customHeight="1">
      <c r="A22" s="1"/>
      <c r="B22" s="7"/>
      <c r="C22" s="7"/>
      <c r="D22" s="7"/>
      <c r="E22" s="12"/>
      <c r="F22" s="12"/>
      <c r="G22" s="12"/>
      <c r="H22" s="12"/>
      <c r="I22" s="12"/>
      <c r="J22" s="1"/>
      <c r="K22" s="1"/>
      <c r="L22" s="1"/>
      <c r="M22" s="1"/>
      <c r="N22" s="1"/>
      <c r="O22" s="1"/>
    </row>
    <row r="23" spans="1:15" ht="14.4" customHeight="1">
      <c r="A23" s="1"/>
      <c r="B23" s="7"/>
      <c r="C23" s="7"/>
      <c r="D23" s="7"/>
      <c r="E23" s="12"/>
      <c r="F23" s="12"/>
      <c r="G23" s="12"/>
      <c r="H23" s="12"/>
      <c r="I23" s="12"/>
      <c r="J23" s="1"/>
      <c r="K23" s="1"/>
      <c r="L23" s="1"/>
      <c r="M23" s="1"/>
      <c r="N23" s="1"/>
      <c r="O23" s="1"/>
    </row>
    <row r="24" spans="1:15" ht="14.4" customHeight="1">
      <c r="A24" s="1"/>
      <c r="B24" s="7"/>
      <c r="C24" s="7"/>
      <c r="D24" s="7"/>
      <c r="E24" s="12"/>
      <c r="F24" s="12"/>
      <c r="G24" s="12"/>
      <c r="H24" s="12"/>
      <c r="I24" s="12"/>
      <c r="J24" s="1"/>
      <c r="K24" s="1"/>
      <c r="L24" s="1"/>
      <c r="M24" s="1"/>
      <c r="N24" s="1"/>
      <c r="O24" s="1"/>
    </row>
    <row r="25" spans="1:15" ht="14.4" customHeight="1">
      <c r="A25" s="1"/>
      <c r="B25" s="7"/>
      <c r="C25" s="7"/>
      <c r="D25" s="7"/>
      <c r="E25" s="12"/>
      <c r="F25" s="12"/>
      <c r="G25" s="12"/>
      <c r="H25" s="12"/>
      <c r="I25" s="12"/>
      <c r="J25" s="1"/>
      <c r="K25" s="1"/>
      <c r="L25" s="1"/>
      <c r="M25" s="1"/>
      <c r="N25" s="1"/>
      <c r="O25" s="1"/>
    </row>
    <row r="26" spans="1:15" ht="14.4" customHeight="1">
      <c r="A26" s="1"/>
      <c r="B26" s="7"/>
      <c r="C26" s="7"/>
      <c r="D26" s="7"/>
      <c r="E26" s="12"/>
      <c r="F26" s="12"/>
      <c r="G26" s="12"/>
      <c r="H26" s="12"/>
      <c r="I26" s="12"/>
      <c r="J26" s="1"/>
      <c r="K26" s="1"/>
      <c r="L26" s="1"/>
      <c r="M26" s="1"/>
      <c r="N26" s="1"/>
      <c r="O26" s="1"/>
    </row>
    <row r="27" spans="1:15" ht="14.4" customHeight="1">
      <c r="A27" s="1"/>
      <c r="B27" s="7"/>
      <c r="C27" s="7"/>
      <c r="D27" s="7"/>
      <c r="E27" s="12"/>
      <c r="F27" s="12"/>
      <c r="G27" s="12"/>
      <c r="H27" s="12"/>
      <c r="I27" s="12"/>
      <c r="J27" s="1"/>
      <c r="K27" s="1"/>
      <c r="L27" s="1"/>
      <c r="M27" s="1"/>
      <c r="N27" s="1"/>
      <c r="O27" s="1"/>
    </row>
    <row r="28" spans="1:15" ht="14.4" customHeight="1">
      <c r="A28" s="1"/>
      <c r="B28" s="7"/>
      <c r="C28" s="7"/>
      <c r="D28" s="7"/>
      <c r="E28" s="12"/>
      <c r="F28" s="12"/>
      <c r="G28" s="12"/>
      <c r="H28" s="12"/>
      <c r="I28" s="12"/>
      <c r="J28" s="1"/>
      <c r="K28" s="1"/>
      <c r="L28" s="1"/>
      <c r="M28" s="1"/>
      <c r="N28" s="1"/>
      <c r="O28" s="1"/>
    </row>
    <row r="29" spans="1:15" ht="14.4" customHeight="1">
      <c r="A29" s="1"/>
      <c r="B29" s="7"/>
      <c r="C29" s="7"/>
      <c r="D29" s="7"/>
      <c r="E29" s="12"/>
      <c r="F29" s="12"/>
      <c r="G29" s="12"/>
      <c r="H29" s="12"/>
      <c r="I29" s="12"/>
      <c r="J29" s="1"/>
      <c r="K29" s="1"/>
      <c r="L29" s="1"/>
      <c r="M29" s="1"/>
      <c r="N29" s="1"/>
      <c r="O29" s="1"/>
    </row>
    <row r="30" spans="1:15" ht="14.4" customHeight="1">
      <c r="A30" s="1"/>
      <c r="B30" s="7"/>
      <c r="C30" s="7"/>
      <c r="D30" s="7"/>
      <c r="E30" s="12"/>
      <c r="F30" s="12"/>
      <c r="G30" s="12"/>
      <c r="H30" s="12"/>
      <c r="I30" s="12"/>
      <c r="J30" s="1"/>
      <c r="K30" s="1"/>
      <c r="L30" s="1"/>
      <c r="M30" s="1"/>
      <c r="N30" s="1"/>
      <c r="O30" s="1"/>
    </row>
    <row r="31" spans="1:15" ht="14.4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14.4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14.4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14.4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14.4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14.4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14.4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14.4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14.4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14.4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</sheetData>
  <mergeCells count="1">
    <mergeCell ref="A1:I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40"/>
  <sheetViews>
    <sheetView workbookViewId="0">
      <selection activeCell="E4" sqref="E4"/>
    </sheetView>
  </sheetViews>
  <sheetFormatPr defaultRowHeight="13.8"/>
  <cols>
    <col min="1" max="1" width="30" customWidth="1"/>
    <col min="2" max="15" width="13" customWidth="1"/>
  </cols>
  <sheetData>
    <row r="1" spans="1:15" ht="20.85" customHeight="1">
      <c r="A1" s="22" t="s">
        <v>91</v>
      </c>
      <c r="B1" s="22"/>
      <c r="C1" s="22"/>
      <c r="D1" s="22"/>
      <c r="E1" s="22"/>
      <c r="F1" s="22"/>
      <c r="G1" s="22"/>
      <c r="H1" s="22"/>
      <c r="I1" s="22"/>
      <c r="J1" s="1"/>
      <c r="K1" s="1"/>
      <c r="L1" s="1"/>
      <c r="M1" s="1"/>
      <c r="N1" s="1"/>
      <c r="O1" s="1"/>
    </row>
    <row r="2" spans="1:15" ht="14.4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14.4" customHeight="1">
      <c r="A3" s="6" t="s">
        <v>41</v>
      </c>
      <c r="B3" s="5">
        <v>2023</v>
      </c>
      <c r="C3" s="5">
        <v>2024</v>
      </c>
      <c r="D3" s="5">
        <v>2025</v>
      </c>
      <c r="E3" s="5">
        <v>2026</v>
      </c>
      <c r="F3" s="5">
        <v>2027</v>
      </c>
      <c r="G3" s="5">
        <v>2028</v>
      </c>
      <c r="H3" s="5">
        <v>2029</v>
      </c>
      <c r="I3" s="5">
        <v>2030</v>
      </c>
      <c r="J3" s="1"/>
      <c r="K3" s="1"/>
      <c r="L3" s="1"/>
      <c r="M3" s="1"/>
      <c r="N3" s="1"/>
      <c r="O3" s="1"/>
    </row>
    <row r="4" spans="1:15" ht="14.4" customHeight="1">
      <c r="A4" s="1" t="s">
        <v>48</v>
      </c>
      <c r="B4" s="7">
        <v>30</v>
      </c>
      <c r="C4" s="7">
        <v>35</v>
      </c>
      <c r="D4" s="7">
        <v>42</v>
      </c>
      <c r="E4" s="12">
        <f>'Income Statement'!E4/365*Assumptions!B9</f>
        <v>46.849315068493155</v>
      </c>
      <c r="F4" s="12">
        <f>'Income Statement'!F4/365*Assumptions!C9</f>
        <v>50.72219178082193</v>
      </c>
      <c r="G4" s="12">
        <f>'Income Statement'!G4/365*Assumptions!D9</f>
        <v>53.870465753424682</v>
      </c>
      <c r="H4" s="12">
        <f>'Income Statement'!H4/365*Assumptions!E9</f>
        <v>57.670257534246595</v>
      </c>
      <c r="I4" s="12">
        <f>'Income Statement'!I4/365*Assumptions!F9</f>
        <v>61.151443989041127</v>
      </c>
      <c r="J4" s="1"/>
      <c r="K4" s="1"/>
      <c r="L4" s="1"/>
      <c r="M4" s="1"/>
      <c r="N4" s="1"/>
      <c r="O4" s="1"/>
    </row>
    <row r="5" spans="1:15" ht="14.4" customHeight="1">
      <c r="A5" s="1" t="s">
        <v>49</v>
      </c>
      <c r="B5" s="7">
        <v>8</v>
      </c>
      <c r="C5" s="7">
        <v>9</v>
      </c>
      <c r="D5" s="7">
        <v>10</v>
      </c>
      <c r="E5" s="12">
        <f>'Income Statement'!E4*Assumptions!B10</f>
        <v>11.400000000000002</v>
      </c>
      <c r="F5" s="12">
        <f>'Income Statement'!F4*Assumptions!C10</f>
        <v>12.768000000000004</v>
      </c>
      <c r="G5" s="12">
        <f>'Income Statement'!G4*Assumptions!D10</f>
        <v>14.044800000000006</v>
      </c>
      <c r="H5" s="12">
        <f>'Income Statement'!H4*Assumptions!E10</f>
        <v>15.308832000000008</v>
      </c>
      <c r="I5" s="12">
        <f>'Income Statement'!I4*Assumptions!F10</f>
        <v>16.533538560000007</v>
      </c>
      <c r="J5" s="1"/>
      <c r="K5" s="1"/>
      <c r="L5" s="1"/>
      <c r="M5" s="1"/>
      <c r="N5" s="1"/>
      <c r="O5" s="1"/>
    </row>
    <row r="6" spans="1:15" ht="14.4" customHeight="1">
      <c r="A6" s="1" t="s">
        <v>50</v>
      </c>
      <c r="B6" s="7">
        <v>5</v>
      </c>
      <c r="C6" s="7">
        <v>6</v>
      </c>
      <c r="D6" s="7">
        <v>7</v>
      </c>
      <c r="E6" s="12">
        <f>'Income Statement'!E4*Assumptions!B13</f>
        <v>7.9800000000000013</v>
      </c>
      <c r="F6" s="12">
        <f>'Income Statement'!F4*Assumptions!C13</f>
        <v>8.9376000000000033</v>
      </c>
      <c r="G6" s="12">
        <f>'Income Statement'!G4*Assumptions!D13</f>
        <v>9.8313600000000037</v>
      </c>
      <c r="H6" s="12">
        <f>'Income Statement'!H4*Assumptions!E13</f>
        <v>10.716182400000005</v>
      </c>
      <c r="I6" s="12">
        <f>'Income Statement'!I4*Assumptions!F13</f>
        <v>11.573476992000007</v>
      </c>
      <c r="J6" s="1"/>
      <c r="K6" s="1"/>
      <c r="L6" s="1"/>
      <c r="M6" s="1"/>
      <c r="N6" s="1"/>
      <c r="O6" s="1"/>
    </row>
    <row r="7" spans="1:15" ht="14.4" customHeight="1">
      <c r="A7" s="1" t="s">
        <v>53</v>
      </c>
      <c r="B7" s="7">
        <v>18</v>
      </c>
      <c r="C7" s="7">
        <v>21</v>
      </c>
      <c r="D7" s="7">
        <v>25</v>
      </c>
      <c r="E7" s="12">
        <f>-'Income Statement'!E5/365*Assumptions!B11</f>
        <v>21.667808219178088</v>
      </c>
      <c r="F7" s="12">
        <f>-'Income Statement'!F5/365*Assumptions!C11</f>
        <v>23.612054794520557</v>
      </c>
      <c r="G7" s="12">
        <f>-'Income Statement'!G5/365*Assumptions!D11</f>
        <v>25.251780821917816</v>
      </c>
      <c r="H7" s="12">
        <f>-'Income Statement'!H5/365*Assumptions!E11</f>
        <v>27.524441095890424</v>
      </c>
      <c r="I7" s="12">
        <f>-'Income Statement'!I5/365*Assumptions!F11</f>
        <v>28.87707077260276</v>
      </c>
      <c r="J7" s="1"/>
      <c r="K7" s="1"/>
      <c r="L7" s="1"/>
      <c r="M7" s="1"/>
      <c r="N7" s="1"/>
      <c r="O7" s="1"/>
    </row>
    <row r="8" spans="1:15" ht="14.4" customHeight="1">
      <c r="A8" s="1" t="s">
        <v>54</v>
      </c>
      <c r="B8" s="7">
        <v>12</v>
      </c>
      <c r="C8" s="7">
        <v>14</v>
      </c>
      <c r="D8" s="7">
        <v>16</v>
      </c>
      <c r="E8" s="12">
        <f>'Income Statement'!E4*Assumptions!B12</f>
        <v>18.525000000000006</v>
      </c>
      <c r="F8" s="12">
        <f>'Income Statement'!F4*Assumptions!C12</f>
        <v>20.748000000000008</v>
      </c>
      <c r="G8" s="12">
        <f>'Income Statement'!G4*Assumptions!D12</f>
        <v>22.822800000000008</v>
      </c>
      <c r="H8" s="12">
        <f>'Income Statement'!H4*Assumptions!E12</f>
        <v>24.87685200000001</v>
      </c>
      <c r="I8" s="12">
        <f>'Income Statement'!I4*Assumptions!F12</f>
        <v>26.867000160000014</v>
      </c>
      <c r="J8" s="1"/>
      <c r="K8" s="1"/>
      <c r="L8" s="1"/>
      <c r="M8" s="1"/>
      <c r="N8" s="1"/>
      <c r="O8" s="1"/>
    </row>
    <row r="9" spans="1:15" ht="14.4" customHeight="1">
      <c r="A9" s="1" t="s">
        <v>52</v>
      </c>
      <c r="B9" s="7">
        <v>9</v>
      </c>
      <c r="C9" s="7">
        <v>10</v>
      </c>
      <c r="D9" s="7">
        <v>11</v>
      </c>
      <c r="E9" s="12">
        <f>'Income Statement'!E4*Assumptions!B14</f>
        <v>12.825000000000003</v>
      </c>
      <c r="F9" s="12">
        <f>'Income Statement'!F4*Assumptions!C14</f>
        <v>14.364000000000004</v>
      </c>
      <c r="G9" s="12">
        <f>'Income Statement'!G4*Assumptions!D14</f>
        <v>15.800400000000005</v>
      </c>
      <c r="H9" s="12">
        <f>'Income Statement'!H4*Assumptions!E14</f>
        <v>17.222436000000005</v>
      </c>
      <c r="I9" s="12">
        <f>'Income Statement'!I4*Assumptions!F14</f>
        <v>18.600230880000009</v>
      </c>
      <c r="J9" s="1"/>
      <c r="K9" s="1"/>
      <c r="L9" s="1"/>
      <c r="M9" s="1"/>
      <c r="N9" s="1"/>
      <c r="O9" s="1"/>
    </row>
    <row r="10" spans="1:15" ht="14.4" customHeight="1">
      <c r="A10" s="1" t="s">
        <v>55</v>
      </c>
      <c r="B10" s="7">
        <v>7</v>
      </c>
      <c r="C10" s="7">
        <v>8</v>
      </c>
      <c r="D10" s="7">
        <v>9</v>
      </c>
      <c r="E10" s="12">
        <f>'Income Statement'!E4*Assumptions!B15</f>
        <v>9.9750000000000032</v>
      </c>
      <c r="F10" s="12">
        <f>'Income Statement'!F4*Assumptions!C15</f>
        <v>11.172000000000004</v>
      </c>
      <c r="G10" s="12">
        <f>'Income Statement'!G4*Assumptions!D15</f>
        <v>12.289200000000005</v>
      </c>
      <c r="H10" s="12">
        <f>'Income Statement'!H4*Assumptions!E15</f>
        <v>13.395228000000007</v>
      </c>
      <c r="I10" s="12">
        <f>'Income Statement'!I4*Assumptions!F15</f>
        <v>14.46684624000001</v>
      </c>
      <c r="J10" s="1"/>
      <c r="K10" s="1"/>
      <c r="L10" s="1"/>
      <c r="M10" s="1"/>
      <c r="N10" s="1"/>
      <c r="O10" s="1"/>
    </row>
    <row r="11" spans="1:15" ht="14.4" customHeight="1">
      <c r="A11" s="1" t="s">
        <v>58</v>
      </c>
      <c r="B11" s="7">
        <v>-12</v>
      </c>
      <c r="C11" s="7">
        <v>-14</v>
      </c>
      <c r="D11" s="7">
        <v>-17</v>
      </c>
      <c r="E11" s="12">
        <f>-'Income Statement'!E4*Assumptions!B16</f>
        <v>-18.525000000000006</v>
      </c>
      <c r="F11" s="12">
        <f>-'Income Statement'!F4*Assumptions!C16</f>
        <v>-19.152000000000005</v>
      </c>
      <c r="G11" s="12">
        <f>-'Income Statement'!G4*Assumptions!D16</f>
        <v>-19.311600000000006</v>
      </c>
      <c r="H11" s="12">
        <f>-'Income Statement'!H4*Assumptions!E16</f>
        <v>-19.136040000000008</v>
      </c>
      <c r="I11" s="12">
        <f>-'Income Statement'!I4*Assumptions!F16</f>
        <v>-20.666923200000014</v>
      </c>
      <c r="J11" s="1"/>
      <c r="K11" s="1"/>
      <c r="L11" s="1"/>
      <c r="M11" s="1"/>
      <c r="N11" s="1"/>
      <c r="O11" s="1"/>
    </row>
    <row r="12" spans="1:15" ht="14.4" customHeight="1">
      <c r="A12" s="1" t="s">
        <v>45</v>
      </c>
      <c r="B12" s="7">
        <v>-8</v>
      </c>
      <c r="C12" s="7">
        <v>-9</v>
      </c>
      <c r="D12" s="7">
        <v>-10</v>
      </c>
      <c r="E12" s="12">
        <f>'Income Statement'!E9</f>
        <v>-11.400000000000002</v>
      </c>
      <c r="F12" s="12">
        <f>'Income Statement'!F9</f>
        <v>-12.768000000000004</v>
      </c>
      <c r="G12" s="12">
        <f>'Income Statement'!G9</f>
        <v>-14.044800000000006</v>
      </c>
      <c r="H12" s="12">
        <f>'Income Statement'!H9</f>
        <v>-15.308832000000008</v>
      </c>
      <c r="I12" s="12">
        <f>'Income Statement'!I9</f>
        <v>-16.533538560000007</v>
      </c>
      <c r="J12" s="1"/>
      <c r="K12" s="1"/>
      <c r="L12" s="1"/>
      <c r="M12" s="1"/>
      <c r="N12" s="1"/>
      <c r="O12" s="1"/>
    </row>
    <row r="13" spans="1:15" ht="14.4" customHeight="1">
      <c r="A13" s="1" t="s">
        <v>51</v>
      </c>
      <c r="B13" s="7">
        <v>45</v>
      </c>
      <c r="C13" s="7">
        <v>50</v>
      </c>
      <c r="D13" s="7">
        <v>57</v>
      </c>
      <c r="E13" s="12">
        <f>D13-E11+E12</f>
        <v>64.125</v>
      </c>
      <c r="F13" s="12">
        <f>E13-F11+F12</f>
        <v>70.509</v>
      </c>
      <c r="G13" s="12">
        <f>F13-G11+G12</f>
        <v>75.775800000000004</v>
      </c>
      <c r="H13" s="12">
        <f>G13-H11+H12</f>
        <v>79.603008000000003</v>
      </c>
      <c r="I13" s="12">
        <f>H13-I11+I12</f>
        <v>83.736392640000005</v>
      </c>
      <c r="J13" s="1"/>
      <c r="K13" s="1"/>
      <c r="L13" s="1"/>
      <c r="M13" s="1"/>
      <c r="N13" s="1"/>
      <c r="O13" s="1"/>
    </row>
    <row r="14" spans="1:15" ht="14.4" customHeight="1">
      <c r="A14" s="1" t="s">
        <v>27</v>
      </c>
      <c r="B14" s="7">
        <v>35</v>
      </c>
      <c r="C14" s="7">
        <v>38</v>
      </c>
      <c r="D14" s="7">
        <v>42</v>
      </c>
      <c r="E14" s="12">
        <f>Assumptions!B17</f>
        <v>42</v>
      </c>
      <c r="F14" s="12">
        <f>Assumptions!C17</f>
        <v>40</v>
      </c>
      <c r="G14" s="12">
        <f>Assumptions!D17</f>
        <v>37</v>
      </c>
      <c r="H14" s="12">
        <f>Assumptions!E17</f>
        <v>33</v>
      </c>
      <c r="I14" s="12">
        <f>Assumptions!F17</f>
        <v>28</v>
      </c>
      <c r="J14" s="1"/>
      <c r="K14" s="1"/>
      <c r="L14" s="1"/>
      <c r="M14" s="1"/>
      <c r="N14" s="1"/>
      <c r="O14" s="1"/>
    </row>
    <row r="15" spans="1:15" ht="14.4" customHeight="1">
      <c r="A15" s="1" t="s">
        <v>46</v>
      </c>
      <c r="B15" s="7">
        <v>-3</v>
      </c>
      <c r="C15" s="7">
        <v>-3</v>
      </c>
      <c r="D15" s="7">
        <v>-4</v>
      </c>
      <c r="E15" s="12">
        <f>'Income Statement'!E11</f>
        <v>-3.78</v>
      </c>
      <c r="F15" s="12">
        <f>'Income Statement'!F11</f>
        <v>-3.5999999999999996</v>
      </c>
      <c r="G15" s="12">
        <f>'Income Statement'!G11</f>
        <v>-3.33</v>
      </c>
      <c r="H15" s="12">
        <f>'Income Statement'!H11</f>
        <v>-2.9699999999999998</v>
      </c>
      <c r="I15" s="12">
        <f>'Income Statement'!I11</f>
        <v>-2.52</v>
      </c>
      <c r="J15" s="1"/>
      <c r="K15" s="1"/>
      <c r="L15" s="1"/>
      <c r="M15" s="1"/>
      <c r="N15" s="1"/>
      <c r="O15" s="1"/>
    </row>
    <row r="16" spans="1:15" ht="14.4" customHeight="1">
      <c r="A16" s="1"/>
      <c r="B16" s="7"/>
      <c r="C16" s="7"/>
      <c r="D16" s="7"/>
      <c r="E16" s="12"/>
      <c r="F16" s="12"/>
      <c r="G16" s="12"/>
      <c r="H16" s="12"/>
      <c r="I16" s="12"/>
      <c r="J16" s="1"/>
      <c r="K16" s="1"/>
      <c r="L16" s="1"/>
      <c r="M16" s="1"/>
      <c r="N16" s="1"/>
      <c r="O16" s="1"/>
    </row>
    <row r="17" spans="1:15" ht="14.4" customHeight="1">
      <c r="A17" s="1"/>
      <c r="B17" s="7"/>
      <c r="C17" s="7"/>
      <c r="D17" s="7"/>
      <c r="E17" s="12"/>
      <c r="F17" s="12"/>
      <c r="G17" s="12"/>
      <c r="H17" s="12"/>
      <c r="I17" s="12"/>
      <c r="J17" s="1"/>
      <c r="K17" s="1"/>
      <c r="L17" s="1"/>
      <c r="M17" s="1"/>
      <c r="N17" s="1"/>
      <c r="O17" s="1"/>
    </row>
    <row r="18" spans="1:15" ht="14.4" customHeight="1">
      <c r="A18" s="1"/>
      <c r="B18" s="7"/>
      <c r="C18" s="7"/>
      <c r="D18" s="7"/>
      <c r="E18" s="12"/>
      <c r="F18" s="12"/>
      <c r="G18" s="12"/>
      <c r="H18" s="12"/>
      <c r="I18" s="12"/>
      <c r="J18" s="1"/>
      <c r="K18" s="1"/>
      <c r="L18" s="1"/>
      <c r="M18" s="1"/>
      <c r="N18" s="1"/>
      <c r="O18" s="1"/>
    </row>
    <row r="19" spans="1:15" ht="14.4" customHeight="1">
      <c r="A19" s="1"/>
      <c r="B19" s="7"/>
      <c r="C19" s="7"/>
      <c r="D19" s="7"/>
      <c r="E19" s="12"/>
      <c r="F19" s="12"/>
      <c r="G19" s="12"/>
      <c r="H19" s="12"/>
      <c r="I19" s="12"/>
      <c r="J19" s="1"/>
      <c r="K19" s="1"/>
      <c r="L19" s="1"/>
      <c r="M19" s="1"/>
      <c r="N19" s="1"/>
      <c r="O19" s="1"/>
    </row>
    <row r="20" spans="1:15" ht="14.4" customHeight="1">
      <c r="A20" s="1"/>
      <c r="B20" s="7"/>
      <c r="C20" s="7"/>
      <c r="D20" s="7"/>
      <c r="E20" s="12"/>
      <c r="F20" s="12"/>
      <c r="G20" s="12"/>
      <c r="H20" s="12"/>
      <c r="I20" s="12"/>
      <c r="J20" s="1"/>
      <c r="K20" s="1"/>
      <c r="L20" s="1"/>
      <c r="M20" s="1"/>
      <c r="N20" s="1"/>
      <c r="O20" s="1"/>
    </row>
    <row r="21" spans="1:15" ht="14.4" customHeight="1">
      <c r="A21" s="1"/>
      <c r="B21" s="7"/>
      <c r="C21" s="7"/>
      <c r="D21" s="7"/>
      <c r="E21" s="12"/>
      <c r="F21" s="12"/>
      <c r="G21" s="12"/>
      <c r="H21" s="12"/>
      <c r="I21" s="12"/>
      <c r="J21" s="1"/>
      <c r="K21" s="1"/>
      <c r="L21" s="1"/>
      <c r="M21" s="1"/>
      <c r="N21" s="1"/>
      <c r="O21" s="1"/>
    </row>
    <row r="22" spans="1:15" ht="14.4" customHeight="1">
      <c r="A22" s="1"/>
      <c r="B22" s="7"/>
      <c r="C22" s="7"/>
      <c r="D22" s="7"/>
      <c r="E22" s="12"/>
      <c r="F22" s="12"/>
      <c r="G22" s="12"/>
      <c r="H22" s="12"/>
      <c r="I22" s="12"/>
      <c r="J22" s="1"/>
      <c r="K22" s="1"/>
      <c r="L22" s="1"/>
      <c r="M22" s="1"/>
      <c r="N22" s="1"/>
      <c r="O22" s="1"/>
    </row>
    <row r="23" spans="1:15" ht="14.4" customHeight="1">
      <c r="A23" s="1"/>
      <c r="B23" s="7"/>
      <c r="C23" s="7"/>
      <c r="D23" s="7"/>
      <c r="E23" s="12"/>
      <c r="F23" s="12"/>
      <c r="G23" s="12"/>
      <c r="H23" s="12"/>
      <c r="I23" s="12"/>
      <c r="J23" s="1"/>
      <c r="K23" s="1"/>
      <c r="L23" s="1"/>
      <c r="M23" s="1"/>
      <c r="N23" s="1"/>
      <c r="O23" s="1"/>
    </row>
    <row r="24" spans="1:15" ht="14.4" customHeight="1">
      <c r="A24" s="1"/>
      <c r="B24" s="7"/>
      <c r="C24" s="7"/>
      <c r="D24" s="7"/>
      <c r="E24" s="12"/>
      <c r="F24" s="12"/>
      <c r="G24" s="12"/>
      <c r="H24" s="12"/>
      <c r="I24" s="12"/>
      <c r="J24" s="1"/>
      <c r="K24" s="1"/>
      <c r="L24" s="1"/>
      <c r="M24" s="1"/>
      <c r="N24" s="1"/>
      <c r="O24" s="1"/>
    </row>
    <row r="25" spans="1:15" ht="14.4" customHeight="1">
      <c r="A25" s="1"/>
      <c r="B25" s="7"/>
      <c r="C25" s="7"/>
      <c r="D25" s="7"/>
      <c r="E25" s="12"/>
      <c r="F25" s="12"/>
      <c r="G25" s="12"/>
      <c r="H25" s="12"/>
      <c r="I25" s="12"/>
      <c r="J25" s="1"/>
      <c r="K25" s="1"/>
      <c r="L25" s="1"/>
      <c r="M25" s="1"/>
      <c r="N25" s="1"/>
      <c r="O25" s="1"/>
    </row>
    <row r="26" spans="1:15" ht="14.4" customHeight="1">
      <c r="A26" s="1"/>
      <c r="B26" s="7"/>
      <c r="C26" s="7"/>
      <c r="D26" s="7"/>
      <c r="E26" s="12"/>
      <c r="F26" s="12"/>
      <c r="G26" s="12"/>
      <c r="H26" s="12"/>
      <c r="I26" s="12"/>
      <c r="J26" s="1"/>
      <c r="K26" s="1"/>
      <c r="L26" s="1"/>
      <c r="M26" s="1"/>
      <c r="N26" s="1"/>
      <c r="O26" s="1"/>
    </row>
    <row r="27" spans="1:15" ht="14.4" customHeight="1">
      <c r="A27" s="1"/>
      <c r="B27" s="7"/>
      <c r="C27" s="7"/>
      <c r="D27" s="7"/>
      <c r="E27" s="12"/>
      <c r="F27" s="12"/>
      <c r="G27" s="12"/>
      <c r="H27" s="12"/>
      <c r="I27" s="12"/>
      <c r="J27" s="1"/>
      <c r="K27" s="1"/>
      <c r="L27" s="1"/>
      <c r="M27" s="1"/>
      <c r="N27" s="1"/>
      <c r="O27" s="1"/>
    </row>
    <row r="28" spans="1:15" ht="14.4" customHeight="1">
      <c r="A28" s="1"/>
      <c r="B28" s="7"/>
      <c r="C28" s="7"/>
      <c r="D28" s="7"/>
      <c r="E28" s="12"/>
      <c r="F28" s="12"/>
      <c r="G28" s="12"/>
      <c r="H28" s="12"/>
      <c r="I28" s="12"/>
      <c r="J28" s="1"/>
      <c r="K28" s="1"/>
      <c r="L28" s="1"/>
      <c r="M28" s="1"/>
      <c r="N28" s="1"/>
      <c r="O28" s="1"/>
    </row>
    <row r="29" spans="1:15" ht="14.4" customHeight="1">
      <c r="A29" s="1"/>
      <c r="B29" s="7"/>
      <c r="C29" s="7"/>
      <c r="D29" s="7"/>
      <c r="E29" s="12"/>
      <c r="F29" s="12"/>
      <c r="G29" s="12"/>
      <c r="H29" s="12"/>
      <c r="I29" s="12"/>
      <c r="J29" s="1"/>
      <c r="K29" s="1"/>
      <c r="L29" s="1"/>
      <c r="M29" s="1"/>
      <c r="N29" s="1"/>
      <c r="O29" s="1"/>
    </row>
    <row r="30" spans="1:15" ht="14.4" customHeight="1">
      <c r="A30" s="1"/>
      <c r="B30" s="7"/>
      <c r="C30" s="7"/>
      <c r="D30" s="7"/>
      <c r="E30" s="12"/>
      <c r="F30" s="12"/>
      <c r="G30" s="12"/>
      <c r="H30" s="12"/>
      <c r="I30" s="12"/>
      <c r="J30" s="1"/>
      <c r="K30" s="1"/>
      <c r="L30" s="1"/>
      <c r="M30" s="1"/>
      <c r="N30" s="1"/>
      <c r="O30" s="1"/>
    </row>
    <row r="31" spans="1:15" ht="14.4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14.4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14.4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14.4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14.4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14.4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14.4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14.4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14.4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14.4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</sheetData>
  <mergeCells count="1">
    <mergeCell ref="A1:I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40"/>
  <sheetViews>
    <sheetView workbookViewId="0">
      <selection activeCell="I8" sqref="I8"/>
    </sheetView>
  </sheetViews>
  <sheetFormatPr defaultRowHeight="13.8"/>
  <cols>
    <col min="1" max="1" width="30" customWidth="1"/>
    <col min="2" max="14" width="13" customWidth="1"/>
  </cols>
  <sheetData>
    <row r="1" spans="1:14" ht="20.85" customHeight="1">
      <c r="A1" s="22" t="s">
        <v>92</v>
      </c>
      <c r="B1" s="22"/>
      <c r="C1" s="22"/>
      <c r="D1" s="22"/>
      <c r="E1" s="22"/>
      <c r="F1" s="22"/>
      <c r="G1" s="22"/>
      <c r="H1" s="3"/>
      <c r="I1" s="1"/>
      <c r="J1" s="1"/>
      <c r="K1" s="1"/>
      <c r="L1" s="1"/>
      <c r="M1" s="1"/>
      <c r="N1" s="1"/>
    </row>
    <row r="2" spans="1:14" ht="14.4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14.4" customHeight="1">
      <c r="A3" s="4" t="s">
        <v>41</v>
      </c>
      <c r="B3" s="4">
        <v>2026</v>
      </c>
      <c r="C3" s="4">
        <v>2027</v>
      </c>
      <c r="D3" s="4">
        <v>2028</v>
      </c>
      <c r="E3" s="4">
        <v>2029</v>
      </c>
      <c r="F3" s="4">
        <v>2030</v>
      </c>
      <c r="G3" s="1"/>
      <c r="H3" s="1"/>
      <c r="I3" s="1"/>
      <c r="J3" s="1"/>
      <c r="K3" s="1"/>
      <c r="L3" s="1"/>
      <c r="M3" s="1"/>
      <c r="N3" s="1"/>
    </row>
    <row r="4" spans="1:14" ht="14.4" customHeight="1">
      <c r="A4" s="1" t="s">
        <v>65</v>
      </c>
      <c r="B4" s="7">
        <f>'Income Statement'!E10</f>
        <v>71.250000000000014</v>
      </c>
      <c r="C4" s="7">
        <f>'Income Statement'!F10</f>
        <v>86.184000000000026</v>
      </c>
      <c r="D4" s="7">
        <f>'Income Statement'!G10</f>
        <v>101.82480000000001</v>
      </c>
      <c r="E4" s="7">
        <f>'Income Statement'!H10</f>
        <v>114.81624000000004</v>
      </c>
      <c r="F4" s="7">
        <f>'Income Statement'!I10</f>
        <v>132.26830848000006</v>
      </c>
      <c r="G4" s="1"/>
      <c r="H4" s="1"/>
      <c r="I4" s="1"/>
      <c r="J4" s="1"/>
      <c r="K4" s="1"/>
      <c r="L4" s="1"/>
      <c r="M4" s="1"/>
      <c r="N4" s="1"/>
    </row>
    <row r="5" spans="1:14" ht="14.4" customHeight="1">
      <c r="A5" s="1" t="s">
        <v>17</v>
      </c>
      <c r="B5" s="8">
        <f>Assumptions!B8</f>
        <v>0.25</v>
      </c>
      <c r="C5" s="8">
        <f>Assumptions!C8</f>
        <v>0.25</v>
      </c>
      <c r="D5" s="8">
        <f>Assumptions!D8</f>
        <v>0.25</v>
      </c>
      <c r="E5" s="8">
        <f>Assumptions!E8</f>
        <v>0.25</v>
      </c>
      <c r="F5" s="8">
        <f>Assumptions!F8</f>
        <v>0.25</v>
      </c>
      <c r="G5" s="1"/>
      <c r="H5" s="1"/>
      <c r="I5" s="1"/>
      <c r="J5" s="1"/>
      <c r="K5" s="1"/>
      <c r="L5" s="1"/>
      <c r="M5" s="1"/>
      <c r="N5" s="1"/>
    </row>
    <row r="6" spans="1:14" ht="14.4" customHeight="1">
      <c r="A6" s="1" t="s">
        <v>93</v>
      </c>
      <c r="B6" s="7">
        <f>B4*(1-B5)</f>
        <v>53.437500000000014</v>
      </c>
      <c r="C6" s="7">
        <f>C4*(1-C5)</f>
        <v>64.638000000000019</v>
      </c>
      <c r="D6" s="7">
        <f>D4*(1-D5)</f>
        <v>76.368600000000015</v>
      </c>
      <c r="E6" s="7">
        <f>E4*(1-E5)</f>
        <v>86.112180000000023</v>
      </c>
      <c r="F6" s="7">
        <f>F4*(1-F5)</f>
        <v>99.201231360000037</v>
      </c>
      <c r="G6" s="1"/>
      <c r="H6" s="1"/>
      <c r="I6" s="1"/>
      <c r="J6" s="1"/>
      <c r="K6" s="1"/>
      <c r="L6" s="1"/>
      <c r="M6" s="1"/>
      <c r="N6" s="1"/>
    </row>
    <row r="7" spans="1:14" ht="14.4" customHeight="1">
      <c r="A7" s="1" t="s">
        <v>45</v>
      </c>
      <c r="B7" s="7">
        <f>-Schedules!E9</f>
        <v>-12.825000000000003</v>
      </c>
      <c r="C7" s="7">
        <f>-Schedules!F9</f>
        <v>-14.364000000000004</v>
      </c>
      <c r="D7" s="7">
        <f>-Schedules!G9</f>
        <v>-15.800400000000005</v>
      </c>
      <c r="E7" s="7">
        <f>-Schedules!H9</f>
        <v>-17.222436000000005</v>
      </c>
      <c r="F7" s="7">
        <f>-Schedules!I9</f>
        <v>-18.600230880000009</v>
      </c>
      <c r="G7" s="1"/>
      <c r="H7" s="1"/>
      <c r="I7" s="1"/>
      <c r="J7" s="1"/>
      <c r="K7" s="1"/>
      <c r="L7" s="1"/>
      <c r="M7" s="1"/>
      <c r="N7" s="1"/>
    </row>
    <row r="8" spans="1:14" ht="14.4" customHeight="1">
      <c r="A8" s="1" t="s">
        <v>58</v>
      </c>
      <c r="B8" s="7">
        <f>Schedules!E11</f>
        <v>-18.525000000000006</v>
      </c>
      <c r="C8" s="7">
        <f>Schedules!F11</f>
        <v>-19.152000000000005</v>
      </c>
      <c r="D8" s="7">
        <f>Schedules!G11</f>
        <v>-19.311600000000006</v>
      </c>
      <c r="E8" s="7">
        <f>Schedules!H11</f>
        <v>-19.136040000000008</v>
      </c>
      <c r="F8" s="7">
        <f>Schedules!I11</f>
        <v>-20.666923200000014</v>
      </c>
      <c r="G8" s="1"/>
      <c r="H8" s="1"/>
      <c r="I8" s="1"/>
      <c r="J8" s="1"/>
      <c r="K8" s="1"/>
      <c r="L8" s="1"/>
      <c r="M8" s="1"/>
      <c r="N8" s="1"/>
    </row>
    <row r="9" spans="1:14" ht="14.4" customHeight="1">
      <c r="A9" s="1" t="s">
        <v>94</v>
      </c>
      <c r="B9" s="7">
        <f>-(((Schedules!E4+Schedules!E5+Schedules!E6)-(Schedules!E7+Schedules!E8))-((Schedules!D4+Schedules!D5+Schedules!D6)-(Schedules!D7+Schedules!D8)))</f>
        <v>-8.0365068493150744</v>
      </c>
      <c r="C9" s="7">
        <f>-(((Schedules!F4+Schedules!F5+Schedules!F6)-(Schedules!F7+Schedules!F8))-((Schedules!E4+Schedules!E5+Schedules!E6)-(Schedules!E7+Schedules!E8)))</f>
        <v>-2.0312301369862951</v>
      </c>
      <c r="D9" s="7">
        <f>-(((Schedules!G4+Schedules!G5+Schedules!G6)-(Schedules!G7+Schedules!G8))-((Schedules!F4+Schedules!F5+Schedules!F6)-(Schedules!F7+Schedules!F8)))</f>
        <v>-1.6043079452055053</v>
      </c>
      <c r="E9" s="7">
        <f>-(((Schedules!H4+Schedules!H5+Schedules!H6)-(Schedules!H7+Schedules!H8))-((Schedules!G4+Schedules!G5+Schedules!G6)-(Schedules!G7+Schedules!G8)))</f>
        <v>-1.6219339068492928</v>
      </c>
      <c r="F9" s="7">
        <f>-(((Schedules!I4+Schedules!I5+Schedules!I6)-(Schedules!I7+Schedules!I8))-((Schedules!H4+Schedules!H5+Schedules!H6)-(Schedules!H7+Schedules!H8)))</f>
        <v>-2.2204097700822061</v>
      </c>
      <c r="G9" s="1"/>
      <c r="H9" s="1"/>
      <c r="I9" s="1"/>
      <c r="J9" s="1"/>
      <c r="K9" s="1"/>
      <c r="L9" s="1"/>
      <c r="M9" s="1"/>
      <c r="N9" s="1"/>
    </row>
    <row r="10" spans="1:14" ht="14.4" customHeight="1">
      <c r="A10" s="1" t="s">
        <v>95</v>
      </c>
      <c r="B10" s="7">
        <f>SUM(B6:B9)</f>
        <v>14.050993150684931</v>
      </c>
      <c r="C10" s="7">
        <f>SUM(C6:C9)</f>
        <v>29.090769863013715</v>
      </c>
      <c r="D10" s="7">
        <f>SUM(D6:D9)</f>
        <v>39.652292054794501</v>
      </c>
      <c r="E10" s="7">
        <f>SUM(E6:E9)</f>
        <v>48.13177009315072</v>
      </c>
      <c r="F10" s="7">
        <f>SUM(F6:F9)</f>
        <v>57.713667509917805</v>
      </c>
      <c r="G10" s="1"/>
      <c r="H10" s="1"/>
      <c r="I10" s="1"/>
      <c r="J10" s="1"/>
      <c r="K10" s="1"/>
      <c r="L10" s="1"/>
      <c r="M10" s="1"/>
      <c r="N10" s="1"/>
    </row>
    <row r="11" spans="1:14" ht="14.4" customHeight="1">
      <c r="A11" s="1" t="s">
        <v>96</v>
      </c>
      <c r="B11" s="7">
        <v>1</v>
      </c>
      <c r="C11" s="7">
        <v>2</v>
      </c>
      <c r="D11" s="7">
        <v>3</v>
      </c>
      <c r="E11" s="7">
        <v>4</v>
      </c>
      <c r="F11" s="7">
        <v>5</v>
      </c>
      <c r="G11" s="1"/>
      <c r="H11" s="1"/>
      <c r="I11" s="1"/>
      <c r="J11" s="1"/>
      <c r="K11" s="1"/>
      <c r="L11" s="1"/>
      <c r="M11" s="1"/>
      <c r="N11" s="1"/>
    </row>
    <row r="12" spans="1:14" ht="14.4" customHeight="1">
      <c r="A12" s="1" t="s">
        <v>97</v>
      </c>
      <c r="B12" s="16">
        <f>1/(1+$B$17)^B11</f>
        <v>0.970873786407767</v>
      </c>
      <c r="C12" s="16">
        <f>1/(1+$B$17)^C11</f>
        <v>0.94259590913375435</v>
      </c>
      <c r="D12" s="16">
        <f>1/(1+$B$17)^D11</f>
        <v>0.91514165935315961</v>
      </c>
      <c r="E12" s="16">
        <f>1/(1+$B$17)^E11</f>
        <v>0.888487047915689</v>
      </c>
      <c r="F12" s="16">
        <f>1/(1+$B$17)^F11</f>
        <v>0.86260878438416411</v>
      </c>
      <c r="G12" s="2"/>
      <c r="H12" s="2"/>
      <c r="I12" s="1"/>
      <c r="J12" s="1"/>
      <c r="K12" s="1"/>
      <c r="L12" s="1"/>
      <c r="M12" s="1"/>
      <c r="N12" s="1"/>
    </row>
    <row r="13" spans="1:14" ht="14.4" customHeight="1">
      <c r="A13" s="13" t="s">
        <v>98</v>
      </c>
      <c r="B13" s="14">
        <f>B10*B12</f>
        <v>13.64174092299508</v>
      </c>
      <c r="C13" s="14">
        <f>C10*C12</f>
        <v>27.420840666428237</v>
      </c>
      <c r="D13" s="14">
        <f>D10*D12</f>
        <v>36.287464348180748</v>
      </c>
      <c r="E13" s="14">
        <f>E10*E12</f>
        <v>42.764454321020132</v>
      </c>
      <c r="F13" s="14">
        <f>F10*F12</f>
        <v>49.784316573082023</v>
      </c>
      <c r="G13" s="2"/>
      <c r="H13" s="2"/>
      <c r="I13" s="1"/>
      <c r="J13" s="1"/>
      <c r="K13" s="1"/>
      <c r="L13" s="1"/>
      <c r="M13" s="1"/>
      <c r="N13" s="1"/>
    </row>
    <row r="14" spans="1:14" ht="14.4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ht="14.4" customHeight="1">
      <c r="A15" s="4" t="s">
        <v>99</v>
      </c>
      <c r="B15" s="4" t="s">
        <v>100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ht="14.4" customHeight="1">
      <c r="A16" s="1" t="s">
        <v>101</v>
      </c>
      <c r="B16" s="8">
        <f>Assumptions!B25*(Assumptions!B20+Assumptions!B22*Assumptions!B21)+Assumptions!B24*Assumptions!B23*(1-Assumptions!B8)</f>
        <v>9.9587499999999995E-2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ht="14.4" customHeight="1">
      <c r="A17" s="1" t="s">
        <v>37</v>
      </c>
      <c r="B17" s="8">
        <f>Assumptions!B26</f>
        <v>0.03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ht="14.4" customHeight="1">
      <c r="A18" s="1" t="s">
        <v>102</v>
      </c>
      <c r="B18" s="7">
        <f>F10*(1+B17)/(B16-B17)</f>
        <v>854.24936281969235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 ht="14.4" customHeight="1">
      <c r="A19" s="1" t="s">
        <v>103</v>
      </c>
      <c r="B19" s="7">
        <f>B18*F12</f>
        <v>736.88300442284162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ht="14.4" customHeight="1">
      <c r="A20" s="1" t="s">
        <v>104</v>
      </c>
      <c r="B20" s="7">
        <f>SUM(B13:F13)</f>
        <v>169.8988168317062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ht="14.4" customHeight="1">
      <c r="A21" s="1" t="s">
        <v>105</v>
      </c>
      <c r="B21" s="7">
        <f>SUM(B19:B20)</f>
        <v>906.78182125454782</v>
      </c>
      <c r="C21" s="2"/>
      <c r="D21" s="2"/>
      <c r="E21" s="2"/>
      <c r="F21" s="2"/>
      <c r="G21" s="2"/>
      <c r="H21" s="2"/>
      <c r="I21" s="1"/>
      <c r="J21" s="1"/>
      <c r="K21" s="1"/>
      <c r="L21" s="1"/>
      <c r="M21" s="1"/>
      <c r="N21" s="1"/>
    </row>
    <row r="22" spans="1:14" ht="14.4" customHeight="1">
      <c r="A22" s="13" t="s">
        <v>106</v>
      </c>
      <c r="B22" s="14">
        <f>'Balance Sheet'!D14</f>
        <v>42</v>
      </c>
      <c r="C22" s="2"/>
      <c r="D22" s="2"/>
      <c r="E22" s="2"/>
      <c r="F22" s="2"/>
      <c r="G22" s="2"/>
      <c r="H22" s="2"/>
      <c r="I22" s="1"/>
      <c r="J22" s="1"/>
      <c r="K22" s="1"/>
      <c r="L22" s="1"/>
      <c r="M22" s="1"/>
      <c r="N22" s="1"/>
    </row>
    <row r="23" spans="1:14" ht="14.4" customHeight="1">
      <c r="A23" s="1" t="s">
        <v>107</v>
      </c>
      <c r="B23" s="7">
        <f>'Balance Sheet'!D4</f>
        <v>28</v>
      </c>
      <c r="C23" s="2"/>
      <c r="D23" s="2"/>
      <c r="E23" s="2"/>
      <c r="F23" s="2"/>
      <c r="G23" s="2"/>
      <c r="H23" s="2"/>
      <c r="I23" s="1"/>
      <c r="J23" s="1"/>
      <c r="K23" s="1"/>
      <c r="L23" s="1"/>
      <c r="M23" s="1"/>
      <c r="N23" s="1"/>
    </row>
    <row r="24" spans="1:14" ht="14.4" customHeight="1">
      <c r="A24" s="1" t="s">
        <v>108</v>
      </c>
      <c r="B24" s="7">
        <f>SUM(B21,-B22,B23)</f>
        <v>892.78182125454782</v>
      </c>
      <c r="C24" s="2"/>
      <c r="D24" s="2"/>
      <c r="E24" s="2"/>
      <c r="F24" s="2"/>
      <c r="G24" s="2"/>
      <c r="H24" s="2"/>
      <c r="I24" s="1"/>
      <c r="J24" s="1"/>
      <c r="K24" s="1"/>
      <c r="L24" s="1"/>
      <c r="M24" s="1"/>
      <c r="N24" s="1"/>
    </row>
    <row r="25" spans="1:14" ht="14.4" customHeight="1">
      <c r="A25" s="13" t="s">
        <v>109</v>
      </c>
      <c r="B25" s="20">
        <f>Assumptions!B27</f>
        <v>25</v>
      </c>
      <c r="C25" s="2"/>
      <c r="D25" s="2"/>
      <c r="E25" s="2"/>
      <c r="F25" s="2"/>
      <c r="G25" s="2"/>
      <c r="H25" s="2"/>
      <c r="I25" s="1"/>
      <c r="J25" s="1"/>
      <c r="K25" s="1"/>
      <c r="L25" s="1"/>
      <c r="M25" s="1"/>
      <c r="N25" s="1"/>
    </row>
    <row r="26" spans="1:14" ht="14.4" customHeight="1">
      <c r="A26" s="1" t="s">
        <v>110</v>
      </c>
      <c r="B26" s="21">
        <f>B24/B25</f>
        <v>35.711272850181913</v>
      </c>
      <c r="C26" s="2"/>
      <c r="D26" s="2"/>
      <c r="E26" s="2"/>
      <c r="F26" s="2"/>
      <c r="G26" s="2"/>
      <c r="H26" s="2"/>
      <c r="I26" s="1"/>
      <c r="J26" s="1"/>
      <c r="K26" s="1"/>
      <c r="L26" s="1"/>
      <c r="M26" s="1"/>
      <c r="N26" s="1"/>
    </row>
    <row r="27" spans="1:14" ht="14.4" customHeight="1">
      <c r="A27" s="13"/>
      <c r="B27" s="17"/>
      <c r="C27" s="2"/>
      <c r="D27" s="2"/>
      <c r="E27" s="2"/>
      <c r="F27" s="2"/>
      <c r="G27" s="2"/>
      <c r="H27" s="2"/>
      <c r="I27" s="1"/>
      <c r="J27" s="1"/>
      <c r="K27" s="1"/>
      <c r="L27" s="1"/>
      <c r="M27" s="1"/>
      <c r="N27" s="1"/>
    </row>
    <row r="28" spans="1:14" ht="14.4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ht="14.4" customHeight="1">
      <c r="A29" s="22" t="s">
        <v>111</v>
      </c>
      <c r="B29" s="22"/>
      <c r="C29" s="22"/>
      <c r="D29" s="22"/>
      <c r="E29" s="22"/>
      <c r="F29" s="22"/>
      <c r="G29" s="22"/>
      <c r="H29" s="22"/>
      <c r="I29" s="1"/>
      <c r="J29" s="1"/>
      <c r="K29" s="1"/>
      <c r="L29" s="1"/>
      <c r="M29" s="1"/>
      <c r="N29" s="1"/>
    </row>
    <row r="30" spans="1:14" ht="14.4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ht="14.4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ht="14.4" customHeight="1">
      <c r="A32" s="4" t="s">
        <v>112</v>
      </c>
      <c r="B32" s="18">
        <v>0.08</v>
      </c>
      <c r="C32" s="18">
        <v>0.09</v>
      </c>
      <c r="D32" s="18">
        <v>0.1</v>
      </c>
      <c r="E32" s="18">
        <v>0.11</v>
      </c>
      <c r="F32" s="18">
        <v>0.12</v>
      </c>
      <c r="G32" s="18">
        <v>0.13</v>
      </c>
      <c r="H32" s="1"/>
      <c r="I32" s="1"/>
      <c r="J32" s="1"/>
      <c r="K32" s="1"/>
      <c r="L32" s="1"/>
      <c r="M32" s="1"/>
      <c r="N32" s="1"/>
    </row>
    <row r="33" spans="1:14" ht="14.4" customHeight="1">
      <c r="A33" s="8">
        <v>0.02</v>
      </c>
      <c r="B33" s="19">
        <f>(SUM('DCF Valuation'!$B$13:$F$13)+('DCF Valuation'!$F$10*(1+$A33)/(B$32-$A33))*(1/(1+B$32)^5)-'DCF Valuation'!$B$22+'DCF Valuation'!$B$23)/'DCF Valuation'!$B$25</f>
        <v>32.945640268849417</v>
      </c>
      <c r="C33" s="19">
        <f>(SUM('DCF Valuation'!$B$13:$F$13)+('DCF Valuation'!$F$10*(1+$A33)/(C$32-$A33))*(1/(1+C$32)^5)-'DCF Valuation'!$B$22+'DCF Valuation'!$B$23)/'DCF Valuation'!$B$25</f>
        <v>28.098879765693564</v>
      </c>
      <c r="D33" s="19">
        <f>(SUM('DCF Valuation'!$B$13:$F$13)+('DCF Valuation'!$F$10*(1+$A33)/(D$32-$A33))*(1/(1+D$32)^5)-'DCF Valuation'!$B$22+'DCF Valuation'!$B$23)/'DCF Valuation'!$B$25</f>
        <v>24.512132535583952</v>
      </c>
      <c r="E33" s="19">
        <f>(SUM('DCF Valuation'!$B$13:$F$13)+('DCF Valuation'!$F$10*(1+$A33)/(E$32-$A33))*(1/(1+E$32)^5)-'DCF Valuation'!$B$22+'DCF Valuation'!$B$23)/'DCF Valuation'!$B$25</f>
        <v>21.762733865938749</v>
      </c>
      <c r="F33" s="19">
        <f>(SUM('DCF Valuation'!$B$13:$F$13)+('DCF Valuation'!$F$10*(1+$A33)/(F$32-$A33))*(1/(1+F$32)^5)-'DCF Valuation'!$B$22+'DCF Valuation'!$B$23)/'DCF Valuation'!$B$25</f>
        <v>19.597252907221915</v>
      </c>
      <c r="G33" s="19">
        <f>(SUM('DCF Valuation'!$B$13:$F$13)+('DCF Valuation'!$F$10*(1+$A33)/(G$32-$A33))*(1/(1+G$32)^5)-'DCF Valuation'!$B$22+'DCF Valuation'!$B$23)/'DCF Valuation'!$B$25</f>
        <v>17.854556241870419</v>
      </c>
      <c r="H33" s="1"/>
      <c r="I33" s="1"/>
      <c r="J33" s="1"/>
      <c r="K33" s="1"/>
      <c r="L33" s="1"/>
      <c r="M33" s="1"/>
      <c r="N33" s="1"/>
    </row>
    <row r="34" spans="1:14" ht="14.4" customHeight="1">
      <c r="A34" s="8">
        <v>2.5000000000000001E-2</v>
      </c>
      <c r="B34" s="19">
        <f>(SUM('DCF Valuation'!$B$13:$F$13)+('DCF Valuation'!$F$10*(1+$A34)/(B$32-$A34))*(1/(1+B$32)^5)-'DCF Valuation'!$B$22+'DCF Valuation'!$B$23)/'DCF Valuation'!$B$25</f>
        <v>35.516626240616596</v>
      </c>
      <c r="C34" s="19">
        <f>(SUM('DCF Valuation'!$B$13:$F$13)+('DCF Valuation'!$F$10*(1+$A34)/(C$32-$A34))*(1/(1+C$32)^5)-'DCF Valuation'!$B$22+'DCF Valuation'!$B$23)/'DCF Valuation'!$B$25</f>
        <v>29.896058538751145</v>
      </c>
      <c r="D34" s="19">
        <f>(SUM('DCF Valuation'!$B$13:$F$13)+('DCF Valuation'!$F$10*(1+$A34)/(D$32-$A34))*(1/(1+D$32)^5)-'DCF Valuation'!$B$22+'DCF Valuation'!$B$23)/'DCF Valuation'!$B$25</f>
        <v>25.826106251175279</v>
      </c>
      <c r="E34" s="19">
        <f>(SUM('DCF Valuation'!$B$13:$F$13)+('DCF Valuation'!$F$10*(1+$A34)/(E$32-$A34))*(1/(1+E$32)^5)-'DCF Valuation'!$B$22+'DCF Valuation'!$B$23)/'DCF Valuation'!$B$25</f>
        <v>22.75666276581558</v>
      </c>
      <c r="F34" s="19">
        <f>(SUM('DCF Valuation'!$B$13:$F$13)+('DCF Valuation'!$F$10*(1+$A34)/(F$32-$A34))*(1/(1+F$32)^5)-'DCF Valuation'!$B$22+'DCF Valuation'!$B$23)/'DCF Valuation'!$B$25</f>
        <v>20.369422992981871</v>
      </c>
      <c r="G34" s="19">
        <f>(SUM('DCF Valuation'!$B$13:$F$13)+('DCF Valuation'!$F$10*(1+$A34)/(G$32-$A34))*(1/(1+G$32)^5)-'DCF Valuation'!$B$22+'DCF Valuation'!$B$23)/'DCF Valuation'!$B$25</f>
        <v>18.467489109868573</v>
      </c>
      <c r="H34" s="1"/>
      <c r="I34" s="1"/>
      <c r="J34" s="1"/>
      <c r="K34" s="1"/>
      <c r="L34" s="1"/>
      <c r="M34" s="1"/>
      <c r="N34" s="1"/>
    </row>
    <row r="35" spans="1:14" ht="14.4" customHeight="1">
      <c r="A35" s="8">
        <v>0.03</v>
      </c>
      <c r="B35" s="19">
        <f>(SUM('DCF Valuation'!$B$13:$F$13)+('DCF Valuation'!$F$10*(1+$A35)/(B$32-$A35))*(1/(1+B$32)^5)-'DCF Valuation'!$B$22+'DCF Valuation'!$B$23)/'DCF Valuation'!$B$25</f>
        <v>38.601809406737196</v>
      </c>
      <c r="C35" s="19">
        <f>(SUM('DCF Valuation'!$B$13:$F$13)+('DCF Valuation'!$F$10*(1+$A35)/(C$32-$A35))*(1/(1+C$32)^5)-'DCF Valuation'!$B$22+'DCF Valuation'!$B$23)/'DCF Valuation'!$B$25</f>
        <v>31.992767107318333</v>
      </c>
      <c r="D35" s="19">
        <f>(SUM('DCF Valuation'!$B$13:$F$13)+('DCF Valuation'!$F$10*(1+$A35)/(D$32-$A35))*(1/(1+D$32)^5)-'DCF Valuation'!$B$22+'DCF Valuation'!$B$23)/'DCF Valuation'!$B$25</f>
        <v>27.327790497565367</v>
      </c>
      <c r="E35" s="19">
        <f>(SUM('DCF Valuation'!$B$13:$F$13)+('DCF Valuation'!$F$10*(1+$A35)/(E$32-$A35))*(1/(1+E$32)^5)-'DCF Valuation'!$B$22+'DCF Valuation'!$B$23)/'DCF Valuation'!$B$25</f>
        <v>23.874832778177016</v>
      </c>
      <c r="F35" s="19">
        <f>(SUM('DCF Valuation'!$B$13:$F$13)+('DCF Valuation'!$F$10*(1+$A35)/(F$32-$A35))*(1/(1+F$32)^5)-'DCF Valuation'!$B$22+'DCF Valuation'!$B$23)/'DCF Valuation'!$B$25</f>
        <v>21.227389754937395</v>
      </c>
      <c r="G35" s="19">
        <f>(SUM('DCF Valuation'!$B$13:$F$13)+('DCF Valuation'!$F$10*(1+$A35)/(G$32-$A35))*(1/(1+G$32)^5)-'DCF Valuation'!$B$22+'DCF Valuation'!$B$23)/'DCF Valuation'!$B$25</f>
        <v>19.141715264666544</v>
      </c>
      <c r="H35" s="1"/>
      <c r="I35" s="1"/>
      <c r="J35" s="1"/>
      <c r="K35" s="1"/>
      <c r="L35" s="1"/>
      <c r="M35" s="1"/>
      <c r="N35" s="1"/>
    </row>
    <row r="36" spans="1:14" ht="14.4" customHeight="1">
      <c r="A36" s="8">
        <v>3.5000000000000003E-2</v>
      </c>
      <c r="B36" s="19">
        <f>(SUM('DCF Valuation'!$B$13:$F$13)+('DCF Valuation'!$F$10*(1+$A36)/(B$32-$A36))*(1/(1+B$32)^5)-'DCF Valuation'!$B$22+'DCF Valuation'!$B$23)/'DCF Valuation'!$B$25</f>
        <v>42.372588831995706</v>
      </c>
      <c r="C36" s="19">
        <f>(SUM('DCF Valuation'!$B$13:$F$13)+('DCF Valuation'!$F$10*(1+$A36)/(C$32-$A36))*(1/(1+C$32)^5)-'DCF Valuation'!$B$22+'DCF Valuation'!$B$23)/'DCF Valuation'!$B$25</f>
        <v>34.470695415625002</v>
      </c>
      <c r="D36" s="19">
        <f>(SUM('DCF Valuation'!$B$13:$F$13)+('DCF Valuation'!$F$10*(1+$A36)/(D$32-$A36))*(1/(1+D$32)^5)-'DCF Valuation'!$B$22+'DCF Valuation'!$B$23)/'DCF Valuation'!$B$25</f>
        <v>29.060503089553926</v>
      </c>
      <c r="E36" s="19">
        <f>(SUM('DCF Valuation'!$B$13:$F$13)+('DCF Valuation'!$F$10*(1+$A36)/(E$32-$A36))*(1/(1+E$32)^5)-'DCF Valuation'!$B$22+'DCF Valuation'!$B$23)/'DCF Valuation'!$B$25</f>
        <v>25.142092125519977</v>
      </c>
      <c r="F36" s="19">
        <f>(SUM('DCF Valuation'!$B$13:$F$13)+('DCF Valuation'!$F$10*(1+$A36)/(F$32-$A36))*(1/(1+F$32)^5)-'DCF Valuation'!$B$22+'DCF Valuation'!$B$23)/'DCF Valuation'!$B$25</f>
        <v>22.186293783005322</v>
      </c>
      <c r="G36" s="19">
        <f>(SUM('DCF Valuation'!$B$13:$F$13)+('DCF Valuation'!$F$10*(1+$A36)/(G$32-$A36))*(1/(1+G$32)^5)-'DCF Valuation'!$B$22+'DCF Valuation'!$B$23)/'DCF Valuation'!$B$25</f>
        <v>19.886912593653772</v>
      </c>
      <c r="H36" s="1"/>
      <c r="I36" s="1"/>
      <c r="J36" s="1"/>
      <c r="K36" s="1"/>
      <c r="L36" s="1"/>
      <c r="M36" s="1"/>
      <c r="N36" s="1"/>
    </row>
    <row r="37" spans="1:14" ht="14.4" customHeight="1">
      <c r="A37" s="8">
        <v>0.04</v>
      </c>
      <c r="B37" s="19">
        <f>(SUM('DCF Valuation'!$B$13:$F$13)+('DCF Valuation'!$F$10*(1+$A37)/(B$32-$A37))*(1/(1+B$32)^5)-'DCF Valuation'!$B$22+'DCF Valuation'!$B$23)/'DCF Valuation'!$B$25</f>
        <v>47.086063113568862</v>
      </c>
      <c r="C37" s="19">
        <f>(SUM('DCF Valuation'!$B$13:$F$13)+('DCF Valuation'!$F$10*(1+$A37)/(C$32-$A37))*(1/(1+C$32)^5)-'DCF Valuation'!$B$22+'DCF Valuation'!$B$23)/'DCF Valuation'!$B$25</f>
        <v>37.444209385593005</v>
      </c>
      <c r="D37" s="19">
        <f>(SUM('DCF Valuation'!$B$13:$F$13)+('DCF Valuation'!$F$10*(1+$A37)/(D$32-$A37))*(1/(1+D$32)^5)-'DCF Valuation'!$B$22+'DCF Valuation'!$B$23)/'DCF Valuation'!$B$25</f>
        <v>31.082001113540581</v>
      </c>
      <c r="E37" s="19">
        <f>(SUM('DCF Valuation'!$B$13:$F$13)+('DCF Valuation'!$F$10*(1+$A37)/(E$32-$A37))*(1/(1+E$32)^5)-'DCF Valuation'!$B$22+'DCF Valuation'!$B$23)/'DCF Valuation'!$B$25</f>
        <v>26.590388522483355</v>
      </c>
      <c r="F37" s="19">
        <f>(SUM('DCF Valuation'!$B$13:$F$13)+('DCF Valuation'!$F$10*(1+$A37)/(F$32-$A37))*(1/(1+F$32)^5)-'DCF Valuation'!$B$22+'DCF Valuation'!$B$23)/'DCF Valuation'!$B$25</f>
        <v>23.265060814581748</v>
      </c>
      <c r="G37" s="19">
        <f>(SUM('DCF Valuation'!$B$13:$F$13)+('DCF Valuation'!$F$10*(1+$A37)/(G$32-$A37))*(1/(1+G$32)^5)-'DCF Valuation'!$B$22+'DCF Valuation'!$B$23)/'DCF Valuation'!$B$25</f>
        <v>20.7149096258618</v>
      </c>
      <c r="H37" s="1"/>
      <c r="I37" s="1"/>
      <c r="J37" s="1"/>
      <c r="K37" s="1"/>
      <c r="L37" s="1"/>
      <c r="M37" s="1"/>
      <c r="N37" s="1"/>
    </row>
    <row r="38" spans="1:14" ht="14.4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ht="14.4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ht="14.4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</sheetData>
  <mergeCells count="2">
    <mergeCell ref="A1:G1"/>
    <mergeCell ref="A29:H29"/>
  </mergeCells>
  <conditionalFormatting sqref="B33:G3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40"/>
  <sheetViews>
    <sheetView workbookViewId="0">
      <selection activeCell="B5" sqref="B5"/>
    </sheetView>
  </sheetViews>
  <sheetFormatPr defaultRowHeight="13.8"/>
  <cols>
    <col min="1" max="1" width="30" customWidth="1"/>
    <col min="2" max="15" width="13" customWidth="1"/>
  </cols>
  <sheetData>
    <row r="1" spans="1:15" ht="20.85" customHeight="1">
      <c r="A1" s="22" t="s">
        <v>111</v>
      </c>
      <c r="B1" s="22"/>
      <c r="C1" s="22"/>
      <c r="D1" s="22"/>
      <c r="E1" s="22"/>
      <c r="F1" s="22"/>
      <c r="G1" s="22"/>
      <c r="H1" s="22"/>
      <c r="I1" s="3"/>
      <c r="J1" s="1"/>
      <c r="K1" s="1"/>
      <c r="L1" s="1"/>
      <c r="M1" s="1"/>
      <c r="N1" s="1"/>
      <c r="O1" s="1"/>
    </row>
    <row r="2" spans="1:15" ht="14.4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14.4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4.4" customHeight="1">
      <c r="A4" s="4" t="s">
        <v>112</v>
      </c>
      <c r="B4" s="18">
        <v>0.08</v>
      </c>
      <c r="C4" s="18">
        <v>0.09</v>
      </c>
      <c r="D4" s="18">
        <v>0.1</v>
      </c>
      <c r="E4" s="18">
        <v>0.11</v>
      </c>
      <c r="F4" s="18">
        <v>0.12</v>
      </c>
      <c r="G4" s="18">
        <v>0.13</v>
      </c>
      <c r="H4" s="1"/>
      <c r="I4" s="1"/>
      <c r="J4" s="1"/>
      <c r="K4" s="1"/>
      <c r="L4" s="1"/>
      <c r="M4" s="1"/>
      <c r="N4" s="1"/>
      <c r="O4" s="1"/>
    </row>
    <row r="5" spans="1:15" ht="14.4" customHeight="1">
      <c r="A5" s="8">
        <v>0.02</v>
      </c>
      <c r="B5" s="19">
        <f>(SUM('DCF Valuation'!$B$13:$F$13)+('DCF Valuation'!$F$10*(1+$A5)/(B$4-$A5))*(1/(1+B$4)^5)-'DCF Valuation'!$B$22+'DCF Valuation'!$B$23)/'DCF Valuation'!$B$25</f>
        <v>32.945640268849417</v>
      </c>
      <c r="C5" s="19">
        <f>(SUM('DCF Valuation'!$B$13:$F$13)+('DCF Valuation'!$F$10*(1+$A5)/(C$4-$A5))*(1/(1+C$4)^5)-'DCF Valuation'!$B$22+'DCF Valuation'!$B$23)/'DCF Valuation'!$B$25</f>
        <v>28.098879765693564</v>
      </c>
      <c r="D5" s="19">
        <f>(SUM('DCF Valuation'!$B$13:$F$13)+('DCF Valuation'!$F$10*(1+$A5)/(D$4-$A5))*(1/(1+D$4)^5)-'DCF Valuation'!$B$22+'DCF Valuation'!$B$23)/'DCF Valuation'!$B$25</f>
        <v>24.512132535583952</v>
      </c>
      <c r="E5" s="19">
        <f>(SUM('DCF Valuation'!$B$13:$F$13)+('DCF Valuation'!$F$10*(1+$A5)/(E$4-$A5))*(1/(1+E$4)^5)-'DCF Valuation'!$B$22+'DCF Valuation'!$B$23)/'DCF Valuation'!$B$25</f>
        <v>21.762733865938749</v>
      </c>
      <c r="F5" s="19">
        <f>(SUM('DCF Valuation'!$B$13:$F$13)+('DCF Valuation'!$F$10*(1+$A5)/(F$4-$A5))*(1/(1+F$4)^5)-'DCF Valuation'!$B$22+'DCF Valuation'!$B$23)/'DCF Valuation'!$B$25</f>
        <v>19.597252907221915</v>
      </c>
      <c r="G5" s="19">
        <f>(SUM('DCF Valuation'!$B$13:$F$13)+('DCF Valuation'!$F$10*(1+$A5)/(G$4-$A5))*(1/(1+G$4)^5)-'DCF Valuation'!$B$22+'DCF Valuation'!$B$23)/'DCF Valuation'!$B$25</f>
        <v>17.854556241870419</v>
      </c>
      <c r="H5" s="1"/>
      <c r="I5" s="1"/>
      <c r="J5" s="1"/>
      <c r="K5" s="1"/>
      <c r="L5" s="1"/>
      <c r="M5" s="1"/>
      <c r="N5" s="1"/>
      <c r="O5" s="1"/>
    </row>
    <row r="6" spans="1:15" ht="14.4" customHeight="1">
      <c r="A6" s="8">
        <v>2.5000000000000001E-2</v>
      </c>
      <c r="B6" s="19">
        <f>(SUM('DCF Valuation'!$B$13:$F$13)+('DCF Valuation'!$F$10*(1+$A6)/(B$4-$A6))*(1/(1+B$4)^5)-'DCF Valuation'!$B$22+'DCF Valuation'!$B$23)/'DCF Valuation'!$B$25</f>
        <v>35.516626240616596</v>
      </c>
      <c r="C6" s="19">
        <f>(SUM('DCF Valuation'!$B$13:$F$13)+('DCF Valuation'!$F$10*(1+$A6)/(C$4-$A6))*(1/(1+C$4)^5)-'DCF Valuation'!$B$22+'DCF Valuation'!$B$23)/'DCF Valuation'!$B$25</f>
        <v>29.896058538751145</v>
      </c>
      <c r="D6" s="19">
        <f>(SUM('DCF Valuation'!$B$13:$F$13)+('DCF Valuation'!$F$10*(1+$A6)/(D$4-$A6))*(1/(1+D$4)^5)-'DCF Valuation'!$B$22+'DCF Valuation'!$B$23)/'DCF Valuation'!$B$25</f>
        <v>25.826106251175279</v>
      </c>
      <c r="E6" s="19">
        <f>(SUM('DCF Valuation'!$B$13:$F$13)+('DCF Valuation'!$F$10*(1+$A6)/(E$4-$A6))*(1/(1+E$4)^5)-'DCF Valuation'!$B$22+'DCF Valuation'!$B$23)/'DCF Valuation'!$B$25</f>
        <v>22.75666276581558</v>
      </c>
      <c r="F6" s="19">
        <f>(SUM('DCF Valuation'!$B$13:$F$13)+('DCF Valuation'!$F$10*(1+$A6)/(F$4-$A6))*(1/(1+F$4)^5)-'DCF Valuation'!$B$22+'DCF Valuation'!$B$23)/'DCF Valuation'!$B$25</f>
        <v>20.369422992981871</v>
      </c>
      <c r="G6" s="19">
        <f>(SUM('DCF Valuation'!$B$13:$F$13)+('DCF Valuation'!$F$10*(1+$A6)/(G$4-$A6))*(1/(1+G$4)^5)-'DCF Valuation'!$B$22+'DCF Valuation'!$B$23)/'DCF Valuation'!$B$25</f>
        <v>18.467489109868573</v>
      </c>
      <c r="H6" s="1"/>
      <c r="I6" s="1"/>
      <c r="J6" s="1"/>
      <c r="K6" s="1"/>
      <c r="L6" s="1"/>
      <c r="M6" s="1"/>
      <c r="N6" s="1"/>
      <c r="O6" s="1"/>
    </row>
    <row r="7" spans="1:15" ht="14.4" customHeight="1">
      <c r="A7" s="8">
        <v>0.03</v>
      </c>
      <c r="B7" s="19">
        <f>(SUM('DCF Valuation'!$B$13:$F$13)+('DCF Valuation'!$F$10*(1+$A7)/(B$4-$A7))*(1/(1+B$4)^5)-'DCF Valuation'!$B$22+'DCF Valuation'!$B$23)/'DCF Valuation'!$B$25</f>
        <v>38.601809406737196</v>
      </c>
      <c r="C7" s="19">
        <f>(SUM('DCF Valuation'!$B$13:$F$13)+('DCF Valuation'!$F$10*(1+$A7)/(C$4-$A7))*(1/(1+C$4)^5)-'DCF Valuation'!$B$22+'DCF Valuation'!$B$23)/'DCF Valuation'!$B$25</f>
        <v>31.992767107318333</v>
      </c>
      <c r="D7" s="19">
        <f>(SUM('DCF Valuation'!$B$13:$F$13)+('DCF Valuation'!$F$10*(1+$A7)/(D$4-$A7))*(1/(1+D$4)^5)-'DCF Valuation'!$B$22+'DCF Valuation'!$B$23)/'DCF Valuation'!$B$25</f>
        <v>27.327790497565367</v>
      </c>
      <c r="E7" s="19">
        <f>(SUM('DCF Valuation'!$B$13:$F$13)+('DCF Valuation'!$F$10*(1+$A7)/(E$4-$A7))*(1/(1+E$4)^5)-'DCF Valuation'!$B$22+'DCF Valuation'!$B$23)/'DCF Valuation'!$B$25</f>
        <v>23.874832778177016</v>
      </c>
      <c r="F7" s="19">
        <f>(SUM('DCF Valuation'!$B$13:$F$13)+('DCF Valuation'!$F$10*(1+$A7)/(F$4-$A7))*(1/(1+F$4)^5)-'DCF Valuation'!$B$22+'DCF Valuation'!$B$23)/'DCF Valuation'!$B$25</f>
        <v>21.227389754937395</v>
      </c>
      <c r="G7" s="19">
        <f>(SUM('DCF Valuation'!$B$13:$F$13)+('DCF Valuation'!$F$10*(1+$A7)/(G$4-$A7))*(1/(1+G$4)^5)-'DCF Valuation'!$B$22+'DCF Valuation'!$B$23)/'DCF Valuation'!$B$25</f>
        <v>19.141715264666544</v>
      </c>
      <c r="H7" s="1"/>
      <c r="I7" s="1"/>
      <c r="J7" s="1"/>
      <c r="K7" s="1"/>
      <c r="L7" s="1"/>
      <c r="M7" s="1"/>
      <c r="N7" s="1"/>
      <c r="O7" s="1"/>
    </row>
    <row r="8" spans="1:15" ht="14.4" customHeight="1">
      <c r="A8" s="8">
        <v>3.5000000000000003E-2</v>
      </c>
      <c r="B8" s="19">
        <f>(SUM('DCF Valuation'!$B$13:$F$13)+('DCF Valuation'!$F$10*(1+$A8)/(B$4-$A8))*(1/(1+B$4)^5)-'DCF Valuation'!$B$22+'DCF Valuation'!$B$23)/'DCF Valuation'!$B$25</f>
        <v>42.372588831995706</v>
      </c>
      <c r="C8" s="19">
        <f>(SUM('DCF Valuation'!$B$13:$F$13)+('DCF Valuation'!$F$10*(1+$A8)/(C$4-$A8))*(1/(1+C$4)^5)-'DCF Valuation'!$B$22+'DCF Valuation'!$B$23)/'DCF Valuation'!$B$25</f>
        <v>34.470695415625002</v>
      </c>
      <c r="D8" s="19">
        <f>(SUM('DCF Valuation'!$B$13:$F$13)+('DCF Valuation'!$F$10*(1+$A8)/(D$4-$A8))*(1/(1+D$4)^5)-'DCF Valuation'!$B$22+'DCF Valuation'!$B$23)/'DCF Valuation'!$B$25</f>
        <v>29.060503089553926</v>
      </c>
      <c r="E8" s="19">
        <f>(SUM('DCF Valuation'!$B$13:$F$13)+('DCF Valuation'!$F$10*(1+$A8)/(E$4-$A8))*(1/(1+E$4)^5)-'DCF Valuation'!$B$22+'DCF Valuation'!$B$23)/'DCF Valuation'!$B$25</f>
        <v>25.142092125519977</v>
      </c>
      <c r="F8" s="19">
        <f>(SUM('DCF Valuation'!$B$13:$F$13)+('DCF Valuation'!$F$10*(1+$A8)/(F$4-$A8))*(1/(1+F$4)^5)-'DCF Valuation'!$B$22+'DCF Valuation'!$B$23)/'DCF Valuation'!$B$25</f>
        <v>22.186293783005322</v>
      </c>
      <c r="G8" s="19">
        <f>(SUM('DCF Valuation'!$B$13:$F$13)+('DCF Valuation'!$F$10*(1+$A8)/(G$4-$A8))*(1/(1+G$4)^5)-'DCF Valuation'!$B$22+'DCF Valuation'!$B$23)/'DCF Valuation'!$B$25</f>
        <v>19.886912593653772</v>
      </c>
      <c r="H8" s="1"/>
      <c r="I8" s="1"/>
      <c r="J8" s="1"/>
      <c r="K8" s="1"/>
      <c r="L8" s="1"/>
      <c r="M8" s="1"/>
      <c r="N8" s="1"/>
      <c r="O8" s="1"/>
    </row>
    <row r="9" spans="1:15" ht="14.4" customHeight="1">
      <c r="A9" s="8">
        <v>0.04</v>
      </c>
      <c r="B9" s="19">
        <f>(SUM('DCF Valuation'!$B$13:$F$13)+('DCF Valuation'!$F$10*(1+$A9)/(B$4-$A9))*(1/(1+B$4)^5)-'DCF Valuation'!$B$22+'DCF Valuation'!$B$23)/'DCF Valuation'!$B$25</f>
        <v>47.086063113568862</v>
      </c>
      <c r="C9" s="19">
        <f>(SUM('DCF Valuation'!$B$13:$F$13)+('DCF Valuation'!$F$10*(1+$A9)/(C$4-$A9))*(1/(1+C$4)^5)-'DCF Valuation'!$B$22+'DCF Valuation'!$B$23)/'DCF Valuation'!$B$25</f>
        <v>37.444209385593005</v>
      </c>
      <c r="D9" s="19">
        <f>(SUM('DCF Valuation'!$B$13:$F$13)+('DCF Valuation'!$F$10*(1+$A9)/(D$4-$A9))*(1/(1+D$4)^5)-'DCF Valuation'!$B$22+'DCF Valuation'!$B$23)/'DCF Valuation'!$B$25</f>
        <v>31.082001113540581</v>
      </c>
      <c r="E9" s="19">
        <f>(SUM('DCF Valuation'!$B$13:$F$13)+('DCF Valuation'!$F$10*(1+$A9)/(E$4-$A9))*(1/(1+E$4)^5)-'DCF Valuation'!$B$22+'DCF Valuation'!$B$23)/'DCF Valuation'!$B$25</f>
        <v>26.590388522483355</v>
      </c>
      <c r="F9" s="19">
        <f>(SUM('DCF Valuation'!$B$13:$F$13)+('DCF Valuation'!$F$10*(1+$A9)/(F$4-$A9))*(1/(1+F$4)^5)-'DCF Valuation'!$B$22+'DCF Valuation'!$B$23)/'DCF Valuation'!$B$25</f>
        <v>23.265060814581748</v>
      </c>
      <c r="G9" s="19">
        <f>(SUM('DCF Valuation'!$B$13:$F$13)+('DCF Valuation'!$F$10*(1+$A9)/(G$4-$A9))*(1/(1+G$4)^5)-'DCF Valuation'!$B$22+'DCF Valuation'!$B$23)/'DCF Valuation'!$B$25</f>
        <v>20.7149096258618</v>
      </c>
      <c r="H9" s="1"/>
      <c r="I9" s="1"/>
      <c r="J9" s="1"/>
      <c r="K9" s="1"/>
      <c r="L9" s="1"/>
      <c r="M9" s="1"/>
      <c r="N9" s="1"/>
      <c r="O9" s="1"/>
    </row>
    <row r="10" spans="1:15" ht="14.4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14.4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14.4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14.4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14.4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14.4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14.4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14.4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14.4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14.4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14.4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14.4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14.4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14.4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14.4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14.4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14.4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14.4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14.4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14.4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14.4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14.4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14.4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14.4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14.4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14.4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14.4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14.4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14.4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14.4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14.4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</sheetData>
  <mergeCells count="1">
    <mergeCell ref="A1:H1"/>
  </mergeCells>
  <conditionalFormatting sqref="B5:G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O40"/>
  <sheetViews>
    <sheetView workbookViewId="0">
      <selection activeCell="B8" sqref="B8"/>
    </sheetView>
  </sheetViews>
  <sheetFormatPr defaultRowHeight="13.8"/>
  <cols>
    <col min="1" max="1" width="19.3984375" bestFit="1" customWidth="1"/>
    <col min="2" max="15" width="13" customWidth="1"/>
  </cols>
  <sheetData>
    <row r="1" spans="1:15" ht="20.85" customHeight="1">
      <c r="A1" s="22" t="s">
        <v>113</v>
      </c>
      <c r="B1" s="22"/>
      <c r="C1" s="22"/>
      <c r="D1" s="22"/>
      <c r="E1" s="22"/>
      <c r="F1" s="22"/>
      <c r="G1" s="22"/>
      <c r="H1" s="22"/>
      <c r="I1" s="22"/>
      <c r="J1" s="1"/>
      <c r="K1" s="1"/>
      <c r="L1" s="1"/>
      <c r="M1" s="1"/>
      <c r="N1" s="1"/>
      <c r="O1" s="1"/>
    </row>
    <row r="2" spans="1:15" ht="14.4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14.4" customHeight="1">
      <c r="A3" s="4" t="s">
        <v>114</v>
      </c>
      <c r="B3" s="4" t="s">
        <v>100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4.4" customHeight="1">
      <c r="A4" s="1" t="s">
        <v>115</v>
      </c>
      <c r="B4" s="7">
        <f>'Income Statement'!D4</f>
        <v>250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14.4" customHeight="1">
      <c r="A5" s="1" t="s">
        <v>116</v>
      </c>
      <c r="B5" s="7">
        <f>'Income Statement'!I4</f>
        <v>413.33846400000022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14.4" customHeight="1">
      <c r="A6" s="1" t="s">
        <v>117</v>
      </c>
      <c r="B6" s="8">
        <f>'Income Statement'!I8/'Income Statement'!I4</f>
        <v>0.36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14.4" customHeight="1">
      <c r="A7" s="1" t="s">
        <v>118</v>
      </c>
      <c r="B7" s="7">
        <f>'DCF Valuation'!B21</f>
        <v>906.78182125454782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14.4" customHeight="1">
      <c r="A8" s="1" t="s">
        <v>119</v>
      </c>
      <c r="B8" s="19">
        <f>'DCF Valuation'!B26</f>
        <v>35.711272850181913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14.4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14.4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14.4" customHeight="1">
      <c r="A11" s="4" t="s">
        <v>41</v>
      </c>
      <c r="B11" s="4">
        <v>2026</v>
      </c>
      <c r="C11" s="4">
        <v>2027</v>
      </c>
      <c r="D11" s="4">
        <v>2028</v>
      </c>
      <c r="E11" s="4">
        <v>2029</v>
      </c>
      <c r="F11" s="4">
        <v>2030</v>
      </c>
      <c r="G11" s="1"/>
      <c r="H11" s="1"/>
      <c r="I11" s="1"/>
      <c r="J11" s="1"/>
      <c r="K11" s="1"/>
      <c r="L11" s="1"/>
      <c r="M11" s="1"/>
      <c r="N11" s="1"/>
      <c r="O11" s="1"/>
    </row>
    <row r="12" spans="1:15" ht="14.4" customHeight="1">
      <c r="A12" s="1" t="s">
        <v>42</v>
      </c>
      <c r="B12" s="7">
        <f>'Income Statement'!E4</f>
        <v>285.00000000000006</v>
      </c>
      <c r="C12" s="7">
        <f>'Income Statement'!F4</f>
        <v>319.2000000000001</v>
      </c>
      <c r="D12" s="7">
        <f>'Income Statement'!G4</f>
        <v>351.12000000000012</v>
      </c>
      <c r="E12" s="7">
        <f>'Income Statement'!H4</f>
        <v>382.72080000000017</v>
      </c>
      <c r="F12" s="7">
        <f>'Income Statement'!I4</f>
        <v>413.33846400000022</v>
      </c>
      <c r="G12" s="1"/>
      <c r="H12" s="1"/>
      <c r="I12" s="1"/>
      <c r="J12" s="1"/>
      <c r="K12" s="1"/>
      <c r="L12" s="1"/>
      <c r="M12" s="1"/>
      <c r="N12" s="1"/>
      <c r="O12" s="1"/>
    </row>
    <row r="13" spans="1:15" ht="14.4" customHeight="1">
      <c r="A13" s="1" t="s">
        <v>64</v>
      </c>
      <c r="B13" s="7">
        <f>'Income Statement'!E8</f>
        <v>82.65000000000002</v>
      </c>
      <c r="C13" s="7">
        <f>'Income Statement'!F8</f>
        <v>98.952000000000027</v>
      </c>
      <c r="D13" s="7">
        <f>'Income Statement'!G8</f>
        <v>115.86960000000002</v>
      </c>
      <c r="E13" s="7">
        <f>'Income Statement'!H8</f>
        <v>130.12507200000005</v>
      </c>
      <c r="F13" s="7">
        <f>'Income Statement'!I8</f>
        <v>148.80184704000007</v>
      </c>
      <c r="G13" s="1"/>
      <c r="H13" s="1"/>
      <c r="I13" s="1"/>
      <c r="J13" s="1"/>
      <c r="K13" s="1"/>
      <c r="L13" s="1"/>
      <c r="M13" s="1"/>
      <c r="N13" s="1"/>
      <c r="O13" s="1"/>
    </row>
    <row r="14" spans="1:15" ht="14.4" customHeight="1">
      <c r="A14" s="1" t="s">
        <v>95</v>
      </c>
      <c r="B14" s="7">
        <f>'DCF Valuation'!B10</f>
        <v>14.050993150684931</v>
      </c>
      <c r="C14" s="7">
        <f>'DCF Valuation'!C10</f>
        <v>29.090769863013715</v>
      </c>
      <c r="D14" s="7">
        <f>'DCF Valuation'!D10</f>
        <v>39.652292054794501</v>
      </c>
      <c r="E14" s="7">
        <f>'DCF Valuation'!E10</f>
        <v>48.13177009315072</v>
      </c>
      <c r="F14" s="7">
        <f>'DCF Valuation'!F10</f>
        <v>57.713667509917805</v>
      </c>
      <c r="G14" s="1"/>
      <c r="H14" s="1"/>
      <c r="I14" s="1"/>
      <c r="J14" s="1"/>
      <c r="K14" s="1"/>
      <c r="L14" s="1"/>
      <c r="M14" s="1"/>
      <c r="N14" s="1"/>
      <c r="O14" s="1"/>
    </row>
    <row r="15" spans="1:15" ht="14.4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14.4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14.4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14.4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14.4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14.4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14.4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14.4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14.4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14.4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14.4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14.4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14.4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14.4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14.4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14.4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14.4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14.4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14.4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14.4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14.4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14.4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14.4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14.4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14.4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14.4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</sheetData>
  <mergeCells count="1">
    <mergeCell ref="A1:I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Cover</vt:lpstr>
      <vt:lpstr>Assumptions</vt:lpstr>
      <vt:lpstr>Historical Data</vt:lpstr>
      <vt:lpstr>Revenue Build</vt:lpstr>
      <vt:lpstr>Income Statement</vt:lpstr>
      <vt:lpstr>Balance Sheet</vt:lpstr>
      <vt:lpstr>Cash Flow</vt:lpstr>
      <vt:lpstr>Schedules</vt:lpstr>
      <vt:lpstr>DCF Valuation</vt:lpstr>
      <vt:lpstr>Sensitivity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Rukmini k s</cp:lastModifiedBy>
  <dcterms:modified xsi:type="dcterms:W3CDTF">2026-09-20T14:41:09Z</dcterms:modified>
</cp:coreProperties>
</file>