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ukmi\Desktop\SQL PRACTICE\Final\"/>
    </mc:Choice>
  </mc:AlternateContent>
  <xr:revisionPtr revIDLastSave="0" documentId="13_ncr:1_{65988CC0-8778-4301-BD75-F49ABB9A0663}" xr6:coauthVersionLast="47" xr6:coauthVersionMax="47" xr10:uidLastSave="{00000000-0000-0000-0000-000000000000}"/>
  <bookViews>
    <workbookView xWindow="-108" yWindow="-108" windowWidth="23256" windowHeight="12456" tabRatio="889" xr2:uid="{00000000-000D-0000-FFFF-FFFF00000000}"/>
  </bookViews>
  <sheets>
    <sheet name="Cover" sheetId="1" r:id="rId1"/>
    <sheet name="Assumptions" sheetId="2" r:id="rId2"/>
    <sheet name="Historical Data" sheetId="3" r:id="rId3"/>
    <sheet name="Revenue Build" sheetId="4" r:id="rId4"/>
    <sheet name="Income Statement" sheetId="5" r:id="rId5"/>
    <sheet name="Balance Sheet" sheetId="6" r:id="rId6"/>
    <sheet name="Cash Flow" sheetId="7" r:id="rId7"/>
    <sheet name="Schedules" sheetId="8" r:id="rId8"/>
    <sheet name="DCF Valuation" sheetId="9" r:id="rId9"/>
    <sheet name="Dashboard" sheetId="11" r:id="rId10"/>
  </sheets>
  <calcPr calcId="191029"/>
</workbook>
</file>

<file path=xl/calcChain.xml><?xml version="1.0" encoding="utf-8"?>
<calcChain xmlns="http://schemas.openxmlformats.org/spreadsheetml/2006/main">
  <c r="B12" i="9" l="1"/>
  <c r="E18" i="6"/>
  <c r="C24" i="7"/>
  <c r="F17" i="7"/>
  <c r="F16" i="7"/>
  <c r="C13" i="7"/>
  <c r="B18" i="9"/>
  <c r="F10" i="9"/>
  <c r="B10" i="9"/>
  <c r="B15" i="7"/>
  <c r="D13" i="7"/>
  <c r="E13" i="7"/>
  <c r="F13" i="7"/>
  <c r="G13" i="7"/>
  <c r="H13" i="7"/>
  <c r="I13" i="7"/>
  <c r="E14" i="5"/>
  <c r="F14" i="5"/>
  <c r="G14" i="5"/>
  <c r="H14" i="5"/>
  <c r="I14" i="5"/>
  <c r="E12" i="5"/>
  <c r="F12" i="5"/>
  <c r="G12" i="5"/>
  <c r="H12" i="5"/>
  <c r="I12" i="5"/>
  <c r="E10" i="5"/>
  <c r="F10" i="5"/>
  <c r="G10" i="5"/>
  <c r="H10" i="5"/>
  <c r="I10" i="5"/>
  <c r="E8" i="5"/>
  <c r="F8" i="5"/>
  <c r="G8" i="5"/>
  <c r="H8" i="5"/>
  <c r="E13" i="11" s="1"/>
  <c r="I8" i="5"/>
  <c r="D13" i="11"/>
  <c r="E4" i="4"/>
  <c r="F13" i="11"/>
  <c r="C13" i="11"/>
  <c r="B13" i="11"/>
  <c r="F12" i="11"/>
  <c r="E12" i="11"/>
  <c r="D12" i="11"/>
  <c r="C12" i="11"/>
  <c r="B12" i="11"/>
  <c r="B6" i="11"/>
  <c r="B5" i="11"/>
  <c r="B4" i="11"/>
  <c r="B25" i="9"/>
  <c r="B23" i="9"/>
  <c r="B22" i="9"/>
  <c r="B17" i="9"/>
  <c r="B16" i="9"/>
  <c r="B13" i="9" s="1"/>
  <c r="D12" i="9"/>
  <c r="C12" i="9"/>
  <c r="F9" i="9"/>
  <c r="E9" i="9"/>
  <c r="D9" i="9"/>
  <c r="C9" i="9"/>
  <c r="B9" i="9"/>
  <c r="F8" i="9"/>
  <c r="E8" i="9"/>
  <c r="D8" i="9"/>
  <c r="C8" i="9"/>
  <c r="B8" i="9"/>
  <c r="F7" i="9"/>
  <c r="E7" i="9"/>
  <c r="D7" i="9"/>
  <c r="C7" i="9"/>
  <c r="B7" i="9"/>
  <c r="F5" i="9"/>
  <c r="E5" i="9"/>
  <c r="D5" i="9"/>
  <c r="C5" i="9"/>
  <c r="B5" i="9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I13" i="8"/>
  <c r="H13" i="8"/>
  <c r="G13" i="8"/>
  <c r="F13" i="8"/>
  <c r="E13" i="8"/>
  <c r="D13" i="8"/>
  <c r="C13" i="8"/>
  <c r="B13" i="8"/>
  <c r="I12" i="8"/>
  <c r="H12" i="8"/>
  <c r="G12" i="8"/>
  <c r="F12" i="8"/>
  <c r="E12" i="8"/>
  <c r="D12" i="8"/>
  <c r="C12" i="8"/>
  <c r="B12" i="8"/>
  <c r="I11" i="8"/>
  <c r="H11" i="8"/>
  <c r="G11" i="8"/>
  <c r="F11" i="8"/>
  <c r="E11" i="8"/>
  <c r="D11" i="8"/>
  <c r="C11" i="8"/>
  <c r="B11" i="8"/>
  <c r="I10" i="8"/>
  <c r="H10" i="8"/>
  <c r="G10" i="8"/>
  <c r="F10" i="8"/>
  <c r="E10" i="8"/>
  <c r="D10" i="8"/>
  <c r="C10" i="8"/>
  <c r="B10" i="8"/>
  <c r="I9" i="8"/>
  <c r="H9" i="8"/>
  <c r="G9" i="8"/>
  <c r="F9" i="8"/>
  <c r="E9" i="8"/>
  <c r="D9" i="8"/>
  <c r="C9" i="8"/>
  <c r="B9" i="8"/>
  <c r="I8" i="8"/>
  <c r="H8" i="8"/>
  <c r="G8" i="8"/>
  <c r="F8" i="8"/>
  <c r="E8" i="8"/>
  <c r="D8" i="8"/>
  <c r="C8" i="8"/>
  <c r="B8" i="8"/>
  <c r="I7" i="8"/>
  <c r="H7" i="8"/>
  <c r="G7" i="8"/>
  <c r="F7" i="8"/>
  <c r="E7" i="8"/>
  <c r="D7" i="8"/>
  <c r="C7" i="8"/>
  <c r="B7" i="8"/>
  <c r="I6" i="8"/>
  <c r="H6" i="8"/>
  <c r="G6" i="8"/>
  <c r="F6" i="8"/>
  <c r="E6" i="8"/>
  <c r="D6" i="8"/>
  <c r="C6" i="8"/>
  <c r="B6" i="8"/>
  <c r="I5" i="8"/>
  <c r="H5" i="8"/>
  <c r="G5" i="8"/>
  <c r="F5" i="8"/>
  <c r="E5" i="8"/>
  <c r="D5" i="8"/>
  <c r="C5" i="8"/>
  <c r="B5" i="8"/>
  <c r="I4" i="8"/>
  <c r="H4" i="8"/>
  <c r="G4" i="8"/>
  <c r="F4" i="8"/>
  <c r="E4" i="8"/>
  <c r="D4" i="8"/>
  <c r="C4" i="8"/>
  <c r="B4" i="8"/>
  <c r="D23" i="7"/>
  <c r="C23" i="7"/>
  <c r="D19" i="7"/>
  <c r="C19" i="7"/>
  <c r="C18" i="7"/>
  <c r="C20" i="7" s="1"/>
  <c r="I17" i="7"/>
  <c r="H17" i="7"/>
  <c r="G17" i="7"/>
  <c r="E17" i="7"/>
  <c r="D17" i="7"/>
  <c r="D18" i="7" s="1"/>
  <c r="D20" i="7" s="1"/>
  <c r="C17" i="7"/>
  <c r="I16" i="7"/>
  <c r="H16" i="7"/>
  <c r="G16" i="7"/>
  <c r="E16" i="7"/>
  <c r="D16" i="7"/>
  <c r="C16" i="7"/>
  <c r="I15" i="7"/>
  <c r="H15" i="7"/>
  <c r="G15" i="7"/>
  <c r="F15" i="7"/>
  <c r="E15" i="7"/>
  <c r="D15" i="7"/>
  <c r="C15" i="7"/>
  <c r="I14" i="7"/>
  <c r="H14" i="7"/>
  <c r="G14" i="7"/>
  <c r="F14" i="7"/>
  <c r="E14" i="7"/>
  <c r="D14" i="7"/>
  <c r="C14" i="7"/>
  <c r="B14" i="7"/>
  <c r="I12" i="7"/>
  <c r="H12" i="7"/>
  <c r="G12" i="7"/>
  <c r="F12" i="7"/>
  <c r="E12" i="7"/>
  <c r="D12" i="7"/>
  <c r="C12" i="7"/>
  <c r="I11" i="7"/>
  <c r="H11" i="7"/>
  <c r="G11" i="7"/>
  <c r="F11" i="7"/>
  <c r="E11" i="7"/>
  <c r="D11" i="7"/>
  <c r="C11" i="7"/>
  <c r="I10" i="7"/>
  <c r="H10" i="7"/>
  <c r="G10" i="7"/>
  <c r="F10" i="7"/>
  <c r="E10" i="7"/>
  <c r="D10" i="7"/>
  <c r="C10" i="7"/>
  <c r="I9" i="7"/>
  <c r="H9" i="7"/>
  <c r="G9" i="7"/>
  <c r="F9" i="7"/>
  <c r="E9" i="7"/>
  <c r="D9" i="7"/>
  <c r="C9" i="7"/>
  <c r="I8" i="7"/>
  <c r="H8" i="7"/>
  <c r="G8" i="7"/>
  <c r="F8" i="7"/>
  <c r="E8" i="7"/>
  <c r="D8" i="7"/>
  <c r="C8" i="7"/>
  <c r="I7" i="7"/>
  <c r="H7" i="7"/>
  <c r="G7" i="7"/>
  <c r="F7" i="7"/>
  <c r="E7" i="7"/>
  <c r="D7" i="7"/>
  <c r="C7" i="7"/>
  <c r="I6" i="7"/>
  <c r="H6" i="7"/>
  <c r="G6" i="7"/>
  <c r="F6" i="7"/>
  <c r="E6" i="7"/>
  <c r="D6" i="7"/>
  <c r="C6" i="7"/>
  <c r="I5" i="7"/>
  <c r="H5" i="7"/>
  <c r="G5" i="7"/>
  <c r="F5" i="7"/>
  <c r="E5" i="7"/>
  <c r="D5" i="7"/>
  <c r="C5" i="7"/>
  <c r="B5" i="7"/>
  <c r="D4" i="7"/>
  <c r="C4" i="7"/>
  <c r="B4" i="7"/>
  <c r="D21" i="6"/>
  <c r="C21" i="6"/>
  <c r="B21" i="6"/>
  <c r="D20" i="6"/>
  <c r="C20" i="6"/>
  <c r="B20" i="6"/>
  <c r="D19" i="6"/>
  <c r="C19" i="6"/>
  <c r="B19" i="6"/>
  <c r="D18" i="6"/>
  <c r="C18" i="6"/>
  <c r="B18" i="6"/>
  <c r="I17" i="6"/>
  <c r="H17" i="6"/>
  <c r="G17" i="6"/>
  <c r="F17" i="6"/>
  <c r="E17" i="6"/>
  <c r="D17" i="6"/>
  <c r="C17" i="6"/>
  <c r="B17" i="6"/>
  <c r="I16" i="6"/>
  <c r="H16" i="6"/>
  <c r="G16" i="6"/>
  <c r="F16" i="6"/>
  <c r="E16" i="6"/>
  <c r="D16" i="6"/>
  <c r="C16" i="6"/>
  <c r="B16" i="6"/>
  <c r="I15" i="6"/>
  <c r="H15" i="6"/>
  <c r="G15" i="6"/>
  <c r="F15" i="6"/>
  <c r="E15" i="6"/>
  <c r="D15" i="6"/>
  <c r="C15" i="6"/>
  <c r="B15" i="6"/>
  <c r="I14" i="6"/>
  <c r="H14" i="6"/>
  <c r="G14" i="6"/>
  <c r="F14" i="6"/>
  <c r="E14" i="6"/>
  <c r="D14" i="6"/>
  <c r="C14" i="6"/>
  <c r="B14" i="6"/>
  <c r="I13" i="6"/>
  <c r="H13" i="6"/>
  <c r="G13" i="6"/>
  <c r="F13" i="6"/>
  <c r="E13" i="6"/>
  <c r="D13" i="6"/>
  <c r="C13" i="6"/>
  <c r="B13" i="6"/>
  <c r="I12" i="6"/>
  <c r="H12" i="6"/>
  <c r="G12" i="6"/>
  <c r="F12" i="6"/>
  <c r="E12" i="6"/>
  <c r="D12" i="6"/>
  <c r="C12" i="6"/>
  <c r="B12" i="6"/>
  <c r="D11" i="6"/>
  <c r="C11" i="6"/>
  <c r="B11" i="6"/>
  <c r="I10" i="6"/>
  <c r="H10" i="6"/>
  <c r="G10" i="6"/>
  <c r="F10" i="6"/>
  <c r="E10" i="6"/>
  <c r="D10" i="6"/>
  <c r="C10" i="6"/>
  <c r="B10" i="6"/>
  <c r="I9" i="6"/>
  <c r="H9" i="6"/>
  <c r="G9" i="6"/>
  <c r="F9" i="6"/>
  <c r="E9" i="6"/>
  <c r="D9" i="6"/>
  <c r="C9" i="6"/>
  <c r="B9" i="6"/>
  <c r="D8" i="6"/>
  <c r="C8" i="6"/>
  <c r="B8" i="6"/>
  <c r="I7" i="6"/>
  <c r="H7" i="6"/>
  <c r="G7" i="6"/>
  <c r="F7" i="6"/>
  <c r="E7" i="6"/>
  <c r="D7" i="6"/>
  <c r="C7" i="6"/>
  <c r="B7" i="6"/>
  <c r="I6" i="6"/>
  <c r="H6" i="6"/>
  <c r="G6" i="6"/>
  <c r="F6" i="6"/>
  <c r="E6" i="6"/>
  <c r="D6" i="6"/>
  <c r="C6" i="6"/>
  <c r="B6" i="6"/>
  <c r="I5" i="6"/>
  <c r="H5" i="6"/>
  <c r="G5" i="6"/>
  <c r="F5" i="6"/>
  <c r="E5" i="6"/>
  <c r="D5" i="6"/>
  <c r="C5" i="6"/>
  <c r="B5" i="6"/>
  <c r="D4" i="6"/>
  <c r="C4" i="6"/>
  <c r="B4" i="6"/>
  <c r="D14" i="5"/>
  <c r="C14" i="5"/>
  <c r="B14" i="5"/>
  <c r="D13" i="5"/>
  <c r="C13" i="5"/>
  <c r="B13" i="5"/>
  <c r="D12" i="5"/>
  <c r="C12" i="5"/>
  <c r="B12" i="5"/>
  <c r="I11" i="5"/>
  <c r="H11" i="5"/>
  <c r="G11" i="5"/>
  <c r="F11" i="5"/>
  <c r="E11" i="5"/>
  <c r="D11" i="5"/>
  <c r="C11" i="5"/>
  <c r="B11" i="5"/>
  <c r="D4" i="9"/>
  <c r="D6" i="9" s="1"/>
  <c r="D10" i="9" s="1"/>
  <c r="C4" i="9"/>
  <c r="C6" i="9" s="1"/>
  <c r="C10" i="9" s="1"/>
  <c r="D10" i="5"/>
  <c r="C10" i="5"/>
  <c r="B10" i="5"/>
  <c r="I9" i="5"/>
  <c r="H9" i="5"/>
  <c r="G9" i="5"/>
  <c r="F9" i="5"/>
  <c r="E9" i="5"/>
  <c r="D9" i="5"/>
  <c r="C9" i="5"/>
  <c r="B9" i="5"/>
  <c r="D8" i="5"/>
  <c r="C8" i="5"/>
  <c r="B8" i="5"/>
  <c r="I7" i="5"/>
  <c r="H7" i="5"/>
  <c r="G7" i="5"/>
  <c r="F7" i="5"/>
  <c r="E7" i="5"/>
  <c r="D7" i="5"/>
  <c r="C7" i="5"/>
  <c r="B7" i="5"/>
  <c r="I6" i="5"/>
  <c r="H6" i="5"/>
  <c r="G6" i="5"/>
  <c r="F6" i="5"/>
  <c r="E6" i="5"/>
  <c r="D6" i="5"/>
  <c r="C6" i="5"/>
  <c r="B6" i="5"/>
  <c r="I5" i="5"/>
  <c r="H5" i="5"/>
  <c r="G5" i="5"/>
  <c r="F5" i="5"/>
  <c r="E5" i="5"/>
  <c r="D5" i="5"/>
  <c r="C5" i="5"/>
  <c r="B5" i="5"/>
  <c r="I4" i="5"/>
  <c r="H4" i="5"/>
  <c r="G4" i="5"/>
  <c r="F4" i="5"/>
  <c r="E4" i="5"/>
  <c r="D4" i="5"/>
  <c r="C4" i="5"/>
  <c r="B4" i="5"/>
  <c r="I5" i="4"/>
  <c r="H5" i="4"/>
  <c r="G5" i="4"/>
  <c r="F5" i="4"/>
  <c r="E5" i="4"/>
  <c r="D5" i="4"/>
  <c r="C5" i="4"/>
  <c r="I4" i="4"/>
  <c r="H4" i="4"/>
  <c r="G4" i="4"/>
  <c r="F4" i="4"/>
  <c r="D4" i="4"/>
  <c r="C4" i="4"/>
  <c r="B4" i="4"/>
  <c r="E12" i="9" l="1"/>
  <c r="F12" i="9"/>
  <c r="E19" i="7"/>
  <c r="D24" i="7"/>
  <c r="B4" i="9"/>
  <c r="B6" i="9" s="1"/>
  <c r="F4" i="9"/>
  <c r="F6" i="9" s="1"/>
  <c r="B19" i="9" s="1"/>
  <c r="D14" i="11"/>
  <c r="D13" i="9"/>
  <c r="I13" i="5"/>
  <c r="I4" i="7" s="1"/>
  <c r="I18" i="7" s="1"/>
  <c r="E13" i="5"/>
  <c r="C14" i="11"/>
  <c r="C13" i="9"/>
  <c r="B14" i="11"/>
  <c r="F13" i="9" l="1"/>
  <c r="F14" i="11"/>
  <c r="E4" i="7"/>
  <c r="E18" i="7" s="1"/>
  <c r="E20" i="7" s="1"/>
  <c r="G13" i="5"/>
  <c r="G4" i="7" s="1"/>
  <c r="G18" i="7" s="1"/>
  <c r="F13" i="5"/>
  <c r="F4" i="7" s="1"/>
  <c r="F18" i="7" s="1"/>
  <c r="E4" i="9"/>
  <c r="E6" i="9" s="1"/>
  <c r="E10" i="9" s="1"/>
  <c r="H13" i="5" l="1"/>
  <c r="H4" i="7" s="1"/>
  <c r="H18" i="7" s="1"/>
  <c r="E13" i="9"/>
  <c r="B20" i="9" s="1"/>
  <c r="B21" i="9" s="1"/>
  <c r="E14" i="11"/>
  <c r="G36" i="9"/>
  <c r="C34" i="9"/>
  <c r="E36" i="9"/>
  <c r="F33" i="9"/>
  <c r="B36" i="9"/>
  <c r="D33" i="9"/>
  <c r="C33" i="9"/>
  <c r="F35" i="9"/>
  <c r="C36" i="9"/>
  <c r="E33" i="9"/>
  <c r="C35" i="9"/>
  <c r="D35" i="9"/>
  <c r="F37" i="9"/>
  <c r="D34" i="9"/>
  <c r="E37" i="9"/>
  <c r="G34" i="9"/>
  <c r="C37" i="9"/>
  <c r="B35" i="9"/>
  <c r="E34" i="9"/>
  <c r="B34" i="9"/>
  <c r="E35" i="9"/>
  <c r="G37" i="9"/>
  <c r="G33" i="9"/>
  <c r="D37" i="9"/>
  <c r="F34" i="9"/>
  <c r="G35" i="9"/>
  <c r="B37" i="9"/>
  <c r="B33" i="9"/>
  <c r="F36" i="9"/>
  <c r="D36" i="9"/>
  <c r="E19" i="6"/>
  <c r="E20" i="6" s="1"/>
  <c r="F18" i="6"/>
  <c r="E4" i="6"/>
  <c r="E8" i="6" s="1"/>
  <c r="E11" i="6" s="1"/>
  <c r="F19" i="7"/>
  <c r="F20" i="7" s="1"/>
  <c r="E21" i="6" l="1"/>
  <c r="F4" i="6"/>
  <c r="F8" i="6" s="1"/>
  <c r="F11" i="6" s="1"/>
  <c r="G19" i="7"/>
  <c r="G20" i="7" s="1"/>
  <c r="G18" i="6"/>
  <c r="F19" i="6"/>
  <c r="F20" i="6" s="1"/>
  <c r="E24" i="7"/>
  <c r="B7" i="11"/>
  <c r="B24" i="9"/>
  <c r="B26" i="9" s="1"/>
  <c r="B8" i="11" s="1"/>
  <c r="F24" i="7" l="1"/>
  <c r="F21" i="6"/>
  <c r="H19" i="7"/>
  <c r="H20" i="7" s="1"/>
  <c r="G4" i="6"/>
  <c r="G8" i="6" s="1"/>
  <c r="G11" i="6" s="1"/>
  <c r="G19" i="6"/>
  <c r="G20" i="6" s="1"/>
  <c r="H18" i="6"/>
  <c r="G21" i="6" l="1"/>
  <c r="G24" i="7"/>
  <c r="I18" i="6"/>
  <c r="I19" i="6" s="1"/>
  <c r="I20" i="6" s="1"/>
  <c r="H19" i="6"/>
  <c r="H20" i="6" s="1"/>
  <c r="I19" i="7"/>
  <c r="I20" i="7" s="1"/>
  <c r="H4" i="6"/>
  <c r="H8" i="6" s="1"/>
  <c r="H11" i="6" s="1"/>
  <c r="H21" i="6" l="1"/>
  <c r="H24" i="7"/>
  <c r="I4" i="6"/>
  <c r="I8" i="6" s="1"/>
  <c r="I11" i="6" s="1"/>
  <c r="I21" i="6" s="1"/>
  <c r="I24" i="7" l="1"/>
</calcChain>
</file>

<file path=xl/sharedStrings.xml><?xml version="1.0" encoding="utf-8"?>
<sst xmlns="http://schemas.openxmlformats.org/spreadsheetml/2006/main" count="195" uniqueCount="130">
  <si>
    <t>Integrated 3-Statement Financial Model &amp; DCF Valuation</t>
  </si>
  <si>
    <t>Portfolio Project | Historical 2023–2025 | Forecast 2026–2030</t>
  </si>
  <si>
    <t>Rukmini KS — Illustrative IT Services Company (For demonstration)</t>
  </si>
  <si>
    <t>Model Highlights</t>
  </si>
  <si>
    <t>• Fully integrated Income Statement, Balance Sheet and Cash Flow</t>
  </si>
  <si>
    <t>• Driver-based 5-year operating forecast</t>
  </si>
  <si>
    <t>• Working capital, PP&amp;E and debt schedules</t>
  </si>
  <si>
    <t>• FCFF DCF with WACC, terminal value and sensitivity analysis</t>
  </si>
  <si>
    <t>All data is fictional and created for demonstration / learning purposes.</t>
  </si>
  <si>
    <t xml:space="preserve"> Forecast &amp; Valuation Assumptions</t>
  </si>
  <si>
    <t>Operating Assumptions</t>
  </si>
  <si>
    <t>2026E</t>
  </si>
  <si>
    <t>2027E</t>
  </si>
  <si>
    <t>2028E</t>
  </si>
  <si>
    <t>2029E</t>
  </si>
  <si>
    <t>2030E</t>
  </si>
  <si>
    <t>Revenue Growth</t>
  </si>
  <si>
    <t>COGS % Revenue</t>
  </si>
  <si>
    <t>OpEx % Revenue</t>
  </si>
  <si>
    <t>D&amp;A % Revenue</t>
  </si>
  <si>
    <t>Tax Rate</t>
  </si>
  <si>
    <t>DSO</t>
  </si>
  <si>
    <t>days</t>
  </si>
  <si>
    <t>Inventory % Revenue</t>
  </si>
  <si>
    <t>DPO</t>
  </si>
  <si>
    <t>Accrued Liab. % Revenue</t>
  </si>
  <si>
    <t>Other Current Assets % Revenue</t>
  </si>
  <si>
    <t>Other Assets % Revenue</t>
  </si>
  <si>
    <t>Other Liabilities % Revenue</t>
  </si>
  <si>
    <t>CapEx % Revenue</t>
  </si>
  <si>
    <t>Debt</t>
  </si>
  <si>
    <t>$mm</t>
  </si>
  <si>
    <t>Interest Rate</t>
  </si>
  <si>
    <t>Valuation Assumptions</t>
  </si>
  <si>
    <t>Risk-free Rate</t>
  </si>
  <si>
    <t>Equity Risk Premium</t>
  </si>
  <si>
    <t>Beta</t>
  </si>
  <si>
    <t>Pre-tax Cost of Debt</t>
  </si>
  <si>
    <t>Debt Weight</t>
  </si>
  <si>
    <t>Equity Weight</t>
  </si>
  <si>
    <t>Terminal Growth Rate</t>
  </si>
  <si>
    <t>Shares Outstanding</t>
  </si>
  <si>
    <t>million shares</t>
  </si>
  <si>
    <t>Historical Financial Data ($mm, except per-share data)</t>
  </si>
  <si>
    <t>Metric</t>
  </si>
  <si>
    <t>Revenue</t>
  </si>
  <si>
    <t>COGS</t>
  </si>
  <si>
    <t>Operating Expenses</t>
  </si>
  <si>
    <t>D&amp;A</t>
  </si>
  <si>
    <t>Interest Expense</t>
  </si>
  <si>
    <t>Cash</t>
  </si>
  <si>
    <t>Accounts Receivable</t>
  </si>
  <si>
    <t>Inventory</t>
  </si>
  <si>
    <t>Other Current Assets</t>
  </si>
  <si>
    <t>PP&amp;E, Net</t>
  </si>
  <si>
    <t>Other Assets</t>
  </si>
  <si>
    <t>Accounts Payable</t>
  </si>
  <si>
    <t>Accrued Liabilities</t>
  </si>
  <si>
    <t>Other Liabilities</t>
  </si>
  <si>
    <t>Share Capital</t>
  </si>
  <si>
    <t>Retained Earnings</t>
  </si>
  <si>
    <t>CapEx</t>
  </si>
  <si>
    <t>Revenue Build ($mm)</t>
  </si>
  <si>
    <t>Growth</t>
  </si>
  <si>
    <t>-</t>
  </si>
  <si>
    <t>Income Statement ($mm)</t>
  </si>
  <si>
    <t>Gross Profit</t>
  </si>
  <si>
    <t>EBITDA</t>
  </si>
  <si>
    <t>EBIT</t>
  </si>
  <si>
    <t>EBT</t>
  </si>
  <si>
    <t>Taxes</t>
  </si>
  <si>
    <t>Net Income</t>
  </si>
  <si>
    <t>Balance Sheet ($mm)</t>
  </si>
  <si>
    <t>Total Current Assets</t>
  </si>
  <si>
    <t>Total Assets</t>
  </si>
  <si>
    <t>Total Liabilities</t>
  </si>
  <si>
    <t>Total Equity</t>
  </si>
  <si>
    <t>Total Liabilities &amp; Equity</t>
  </si>
  <si>
    <t>Balance Check</t>
  </si>
  <si>
    <t>Cash Flow Statement ($mm)</t>
  </si>
  <si>
    <t>Change in A/R</t>
  </si>
  <si>
    <t>Change in Inventory</t>
  </si>
  <si>
    <t>Change in Other Current Assets</t>
  </si>
  <si>
    <t>Change in A/P</t>
  </si>
  <si>
    <t>Change in Accrued Liabilities</t>
  </si>
  <si>
    <t>Change in Other Assets</t>
  </si>
  <si>
    <t>Change in Other Liabilities</t>
  </si>
  <si>
    <t>Cash Flow from Operations</t>
  </si>
  <si>
    <t>Cash Flow from Investing</t>
  </si>
  <si>
    <t>Change in Debt</t>
  </si>
  <si>
    <t>Cash Flow from Financing</t>
  </si>
  <si>
    <t>Net Change in Cash</t>
  </si>
  <si>
    <t>Beginning Cash</t>
  </si>
  <si>
    <t>Ending Cash</t>
  </si>
  <si>
    <t>Dividends / distributions</t>
  </si>
  <si>
    <t>n.a.</t>
  </si>
  <si>
    <t>Cash reconciliation</t>
  </si>
  <si>
    <t>2024–2025 distributions inferred from retained earnings; no other equity adjustments assumed.</t>
  </si>
  <si>
    <t>2023 cash movements unavailable: opening balances were not provided. Forecast distributions assumed zero.</t>
  </si>
  <si>
    <t>Supporting Schedules ($mm)</t>
  </si>
  <si>
    <t>DCF Valuation ($mm, except per-share data)</t>
  </si>
  <si>
    <t>NOPAT</t>
  </si>
  <si>
    <t>Change in operating assets / liabilities</t>
  </si>
  <si>
    <t>FCFF</t>
  </si>
  <si>
    <t>Discount Period</t>
  </si>
  <si>
    <t>Discount Factor</t>
  </si>
  <si>
    <t>PV of FCFF</t>
  </si>
  <si>
    <t>Valuation Summary</t>
  </si>
  <si>
    <t>Value</t>
  </si>
  <si>
    <t>WACC</t>
  </si>
  <si>
    <t>Terminal Value</t>
  </si>
  <si>
    <t>PV of Terminal Value</t>
  </si>
  <si>
    <t>PV of Forecast FCFF</t>
  </si>
  <si>
    <t>Enterprise Value</t>
  </si>
  <si>
    <t>Less: Debt</t>
  </si>
  <si>
    <t>Add: Cash</t>
  </si>
  <si>
    <t>Equity Value</t>
  </si>
  <si>
    <t>Shares Outstanding (millions)</t>
  </si>
  <si>
    <t>Implied Value / Share</t>
  </si>
  <si>
    <t>DCF Sensitivity — Implied Value / Share ($)</t>
  </si>
  <si>
    <t>Terminal Growth / WACC</t>
  </si>
  <si>
    <t>Valuation date: 31 Dec 2025. Year-end discounting; perpetual-growth terminal value.</t>
  </si>
  <si>
    <t>Other assets and liabilities treated as operating. Interest uses year-end debt; no forecast dividends.</t>
  </si>
  <si>
    <t>Valuation &amp; Financial Dashboard</t>
  </si>
  <si>
    <t>Key KPI</t>
  </si>
  <si>
    <t>2025 Revenue ($mm)</t>
  </si>
  <si>
    <t>2030 Revenue ($mm)</t>
  </si>
  <si>
    <t>2030 EBITDA Margin</t>
  </si>
  <si>
    <t>Enterprise Value ($mm)</t>
  </si>
  <si>
    <t>Implied Value / Share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</si>
</sst>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6" formatCode="#,##0.0;[Red]\(#,##0.0\);\-"/>
    <numFmt numFmtId="167" formatCode="0.0%;[Red]\(0.0%\);\-"/>
    <numFmt numFmtId="168" formatCode="&quot;$&quot;#,##0.00"/>
    <numFmt numFmtId="170" formatCode="#,##0.0"/>
    <numFmt numFmtId="171" formatCode="&quot;$&quot;#,##0.00;[Red]\(&quot;$&quot;#,##0.00\);\-"/>
    <numFmt numFmtId="173" formatCode="0.0%"/>
    <numFmt numFmtId="174" formatCode="#,##0.0;\(#,##0.0\);\-"/>
    <numFmt numFmtId="181" formatCode="#,##0;\(#,##0\);0"/>
  </numFmts>
  <fonts count="17">
    <font>
      <sz val="11"/>
      <name val="Carlito"/>
      <charset val="134"/>
    </font>
    <font>
      <sz val="11"/>
      <color theme="1"/>
      <name val="Calibri"/>
      <charset val="134"/>
      <scheme val="minor"/>
    </font>
    <font>
      <sz val="11"/>
      <name val="Carlito"/>
      <charset val="134"/>
    </font>
    <font>
      <sz val="10"/>
      <color rgb="FF000000"/>
      <name val="Aptos"/>
      <family val="2"/>
    </font>
    <font>
      <sz val="11"/>
      <name val="Aptos"/>
      <family val="2"/>
    </font>
    <font>
      <b/>
      <sz val="16"/>
      <color rgb="FF17365D"/>
      <name val="Aptos"/>
      <family val="2"/>
    </font>
    <font>
      <i/>
      <sz val="11"/>
      <color rgb="FF000000"/>
      <name val="Aptos"/>
      <family val="2"/>
    </font>
    <font>
      <i/>
      <sz val="11"/>
      <color indexed="19"/>
      <name val="Aptos"/>
      <family val="2"/>
    </font>
    <font>
      <b/>
      <sz val="10"/>
      <color rgb="FFFFFFFF"/>
      <name val="Aptos"/>
      <family val="2"/>
    </font>
    <font>
      <b/>
      <sz val="10"/>
      <color rgb="FF000000"/>
      <name val="Aptos"/>
      <family val="2"/>
    </font>
    <font>
      <sz val="10"/>
      <name val="Aptos"/>
      <family val="2"/>
    </font>
    <font>
      <b/>
      <sz val="14"/>
      <color rgb="FFFFFFFF"/>
      <name val="Aptos"/>
      <family val="2"/>
    </font>
    <font>
      <sz val="10"/>
      <color rgb="FF0000FF"/>
      <name val="Aptos"/>
      <family val="2"/>
    </font>
    <font>
      <sz val="10"/>
      <color rgb="FF008000"/>
      <name val="Aptos"/>
      <family val="2"/>
    </font>
    <font>
      <sz val="10"/>
      <color theme="1"/>
      <name val="Aptos"/>
      <family val="2"/>
    </font>
    <font>
      <sz val="10"/>
      <color theme="9" tint="-0.249977111117893"/>
      <name val="Aptos"/>
      <family val="2"/>
    </font>
    <font>
      <sz val="10"/>
      <color theme="3" tint="0.249977111117893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0" fontId="3" fillId="0" borderId="0" xfId="2" applyNumberFormat="1" applyFont="1"/>
    <xf numFmtId="166" fontId="12" fillId="0" borderId="0" xfId="0" applyNumberFormat="1" applyFont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166" fontId="3" fillId="0" borderId="0" xfId="0" applyNumberFormat="1" applyFont="1"/>
    <xf numFmtId="167" fontId="3" fillId="0" borderId="0" xfId="0" applyNumberFormat="1" applyFont="1"/>
    <xf numFmtId="173" fontId="3" fillId="0" borderId="0" xfId="2" applyNumberFormat="1" applyFont="1"/>
    <xf numFmtId="166" fontId="13" fillId="0" borderId="0" xfId="0" applyNumberFormat="1" applyFont="1"/>
    <xf numFmtId="0" fontId="3" fillId="0" borderId="1" xfId="0" applyFont="1" applyBorder="1"/>
    <xf numFmtId="166" fontId="3" fillId="0" borderId="1" xfId="0" applyNumberFormat="1" applyFont="1" applyBorder="1"/>
    <xf numFmtId="166" fontId="13" fillId="0" borderId="1" xfId="0" applyNumberFormat="1" applyFont="1" applyBorder="1"/>
    <xf numFmtId="167" fontId="14" fillId="0" borderId="0" xfId="0" applyNumberFormat="1" applyFont="1"/>
    <xf numFmtId="166" fontId="14" fillId="0" borderId="0" xfId="0" applyNumberFormat="1" applyFont="1"/>
    <xf numFmtId="166" fontId="14" fillId="0" borderId="1" xfId="0" applyNumberFormat="1" applyFont="1" applyBorder="1"/>
    <xf numFmtId="166" fontId="15" fillId="0" borderId="0" xfId="0" applyNumberFormat="1" applyFont="1"/>
    <xf numFmtId="167" fontId="15" fillId="0" borderId="0" xfId="0" applyNumberFormat="1" applyFont="1"/>
    <xf numFmtId="167" fontId="16" fillId="3" borderId="0" xfId="0" applyNumberFormat="1" applyFont="1" applyFill="1"/>
    <xf numFmtId="0" fontId="16" fillId="3" borderId="0" xfId="0" applyFont="1" applyFill="1"/>
    <xf numFmtId="0" fontId="3" fillId="0" borderId="0" xfId="0" applyFont="1" applyAlignment="1">
      <alignment wrapText="1"/>
    </xf>
    <xf numFmtId="166" fontId="15" fillId="0" borderId="1" xfId="0" applyNumberFormat="1" applyFont="1" applyBorder="1"/>
    <xf numFmtId="174" fontId="15" fillId="0" borderId="0" xfId="0" applyNumberFormat="1" applyFont="1"/>
    <xf numFmtId="0" fontId="3" fillId="0" borderId="0" xfId="0" applyNumberFormat="1" applyFont="1"/>
    <xf numFmtId="0" fontId="3" fillId="0" borderId="1" xfId="0" applyNumberFormat="1" applyFont="1" applyBorder="1"/>
    <xf numFmtId="174" fontId="11" fillId="2" borderId="0" xfId="0" applyNumberFormat="1" applyFont="1" applyFill="1" applyAlignment="1">
      <alignment horizontal="left" vertical="center"/>
    </xf>
    <xf numFmtId="174" fontId="3" fillId="0" borderId="0" xfId="0" applyNumberFormat="1" applyFont="1"/>
    <xf numFmtId="174" fontId="4" fillId="0" borderId="0" xfId="0" applyNumberFormat="1" applyFont="1"/>
    <xf numFmtId="174" fontId="8" fillId="2" borderId="0" xfId="0" applyNumberFormat="1" applyFont="1" applyFill="1" applyAlignment="1">
      <alignment horizontal="left"/>
    </xf>
    <xf numFmtId="174" fontId="3" fillId="0" borderId="1" xfId="0" applyNumberFormat="1" applyFont="1" applyBorder="1"/>
    <xf numFmtId="174" fontId="15" fillId="0" borderId="0" xfId="1" applyNumberFormat="1" applyFont="1" applyAlignment="1"/>
    <xf numFmtId="174" fontId="14" fillId="0" borderId="1" xfId="1" applyNumberFormat="1" applyFont="1" applyBorder="1" applyAlignment="1"/>
    <xf numFmtId="174" fontId="3" fillId="0" borderId="0" xfId="1" applyNumberFormat="1" applyFont="1" applyAlignment="1"/>
    <xf numFmtId="174" fontId="3" fillId="0" borderId="1" xfId="1" applyNumberFormat="1" applyFont="1" applyBorder="1" applyAlignment="1"/>
    <xf numFmtId="174" fontId="15" fillId="0" borderId="1" xfId="0" applyNumberFormat="1" applyFont="1" applyBorder="1"/>
    <xf numFmtId="174" fontId="16" fillId="0" borderId="1" xfId="0" applyNumberFormat="1" applyFont="1" applyBorder="1"/>
    <xf numFmtId="174" fontId="13" fillId="0" borderId="0" xfId="0" applyNumberFormat="1" applyFont="1"/>
    <xf numFmtId="174" fontId="3" fillId="0" borderId="0" xfId="0" applyNumberFormat="1" applyFont="1" applyAlignment="1">
      <alignment wrapText="1"/>
    </xf>
    <xf numFmtId="174" fontId="13" fillId="0" borderId="0" xfId="0" applyNumberFormat="1" applyFont="1" applyAlignment="1">
      <alignment wrapText="1"/>
    </xf>
    <xf numFmtId="0" fontId="8" fillId="2" borderId="0" xfId="0" applyNumberFormat="1" applyFont="1" applyFill="1" applyAlignment="1">
      <alignment horizontal="right"/>
    </xf>
    <xf numFmtId="181" fontId="3" fillId="0" borderId="0" xfId="0" applyNumberFormat="1" applyFont="1"/>
    <xf numFmtId="181" fontId="4" fillId="0" borderId="0" xfId="0" applyNumberFormat="1" applyFont="1"/>
    <xf numFmtId="181" fontId="15" fillId="0" borderId="0" xfId="0" applyNumberFormat="1" applyFont="1"/>
    <xf numFmtId="181" fontId="3" fillId="0" borderId="1" xfId="0" applyNumberFormat="1" applyFont="1" applyBorder="1"/>
    <xf numFmtId="181" fontId="14" fillId="0" borderId="1" xfId="0" applyNumberFormat="1" applyFont="1" applyBorder="1"/>
    <xf numFmtId="181" fontId="13" fillId="0" borderId="0" xfId="0" applyNumberFormat="1" applyFont="1"/>
    <xf numFmtId="0" fontId="11" fillId="2" borderId="0" xfId="0" applyNumberFormat="1" applyFont="1" applyFill="1" applyAlignment="1">
      <alignment horizontal="left" vertical="center"/>
    </xf>
    <xf numFmtId="0" fontId="8" fillId="2" borderId="0" xfId="0" applyNumberFormat="1" applyFont="1" applyFill="1" applyAlignment="1">
      <alignment horizontal="left"/>
    </xf>
    <xf numFmtId="0" fontId="4" fillId="0" borderId="0" xfId="0" applyNumberFormat="1" applyFont="1"/>
    <xf numFmtId="174" fontId="16" fillId="0" borderId="0" xfId="0" applyNumberFormat="1" applyFont="1"/>
    <xf numFmtId="171" fontId="3" fillId="0" borderId="0" xfId="0" applyNumberFormat="1" applyFont="1"/>
    <xf numFmtId="171" fontId="3" fillId="0" borderId="1" xfId="0" applyNumberFormat="1" applyFont="1" applyBorder="1"/>
    <xf numFmtId="167" fontId="8" fillId="2" borderId="0" xfId="0" applyNumberFormat="1" applyFont="1" applyFill="1"/>
    <xf numFmtId="168" fontId="3" fillId="0" borderId="0" xfId="0" applyNumberFormat="1" applyFont="1"/>
    <xf numFmtId="0" fontId="11" fillId="2" borderId="0" xfId="0" applyFont="1" applyFill="1" applyAlignment="1">
      <alignment horizontal="center" vertical="center"/>
    </xf>
    <xf numFmtId="0" fontId="3" fillId="0" borderId="2" xfId="0" applyFont="1" applyBorder="1"/>
    <xf numFmtId="174" fontId="3" fillId="0" borderId="2" xfId="0" applyNumberFormat="1" applyFont="1" applyBorder="1"/>
    <xf numFmtId="10" fontId="15" fillId="0" borderId="0" xfId="2" applyNumberFormat="1" applyFont="1"/>
    <xf numFmtId="170" fontId="15" fillId="0" borderId="1" xfId="0" applyNumberFormat="1" applyFont="1" applyBorder="1"/>
    <xf numFmtId="9" fontId="3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&amp; EBITDA Forecast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1828311124571003E-2"/>
          <c:y val="0.12574151915221099"/>
          <c:w val="0.92054348374722395"/>
          <c:h val="0.7212700763322019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Dashboard!$B$11:$F$11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Dashboard!$B$12:$F$12</c:f>
              <c:numCache>
                <c:formatCode>#,##0.0;[Red]\(#,##0.0\);\-</c:formatCode>
                <c:ptCount val="5"/>
                <c:pt idx="0">
                  <c:v>285</c:v>
                </c:pt>
                <c:pt idx="1">
                  <c:v>319.2</c:v>
                </c:pt>
                <c:pt idx="2">
                  <c:v>351.12</c:v>
                </c:pt>
                <c:pt idx="3">
                  <c:v>382.7208</c:v>
                </c:pt>
                <c:pt idx="4">
                  <c:v>413.33846399999999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1-41F0-8656-E370A66899EC}"/>
            </c:ext>
          </c:extLst>
        </c:ser>
        <c:ser>
          <c:idx val="1"/>
          <c:order val="1"/>
          <c:tx>
            <c:strRef>
              <c:f>Dashboard!$A$13</c:f>
              <c:strCache>
                <c:ptCount val="1"/>
                <c:pt idx="0">
                  <c:v>EBITDA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Dashboard!$B$11:$F$11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Dashboard!$B$13:$F$13</c:f>
              <c:numCache>
                <c:formatCode>#,##0.0;[Red]\(#,##0.0\);\-</c:formatCode>
                <c:ptCount val="5"/>
                <c:pt idx="0">
                  <c:v>82.65</c:v>
                </c:pt>
                <c:pt idx="1">
                  <c:v>98.952000000000012</c:v>
                </c:pt>
                <c:pt idx="2">
                  <c:v>115.86960000000001</c:v>
                </c:pt>
                <c:pt idx="3">
                  <c:v>130.12507199999999</c:v>
                </c:pt>
                <c:pt idx="4">
                  <c:v>148.80184704000001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91-41F0-8656-E370A6689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1"/>
        <c:ser>
          <c:idx val="2"/>
          <c:order val="2"/>
          <c:tx>
            <c:strRef>
              <c:f>Dashboard!$A$14</c:f>
              <c:strCache>
                <c:ptCount val="1"/>
                <c:pt idx="0">
                  <c:v>FCFF</c:v>
                </c:pt>
              </c:strCache>
            </c:strRef>
          </c:tx>
          <c:marker>
            <c:symbol val="none"/>
          </c:marker>
          <c:dLbls>
            <c:dLbl>
              <c:idx val="0"/>
              <c:layout>
                <c:manualLayout>
                  <c:x val="-2.7948717948718001E-2"/>
                  <c:y val="3.80222209065972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91-41F0-8656-E370A66899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Dashboard!$B$11:$F$11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Dashboard!$B$14:$F$14</c:f>
              <c:numCache>
                <c:formatCode>#,##0.0;[Red]\(#,##0.0\);\-</c:formatCode>
                <c:ptCount val="5"/>
                <c:pt idx="0">
                  <c:v>37.425993150684945</c:v>
                </c:pt>
                <c:pt idx="1">
                  <c:v>55.880769863013697</c:v>
                </c:pt>
                <c:pt idx="2">
                  <c:v>69.178292054794511</c:v>
                </c:pt>
                <c:pt idx="3">
                  <c:v>80.347030093150678</c:v>
                </c:pt>
                <c:pt idx="4">
                  <c:v>92.541260309917817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791-41F0-8656-E370A6689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numFmt formatCode="#,##0.0;[Red]\(#,##0.0\);\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6b7fe926-107c-4bcb-9114-455917e0a26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9</xdr:col>
      <xdr:colOff>45720</xdr:colOff>
      <xdr:row>26</xdr:row>
      <xdr:rowOff>106680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showGridLines="0" tabSelected="1" workbookViewId="0"/>
  </sheetViews>
  <sheetFormatPr defaultColWidth="8.77734375" defaultRowHeight="14.4"/>
  <cols>
    <col min="1" max="1" width="9.44140625" style="2" customWidth="1"/>
    <col min="2" max="2" width="18.44140625" style="2" customWidth="1"/>
    <col min="3" max="15" width="13" style="2" customWidth="1"/>
    <col min="16" max="16384" width="8.77734375" style="2"/>
  </cols>
  <sheetData>
    <row r="1" spans="1:15" ht="14.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.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s="5" customFormat="1" ht="21">
      <c r="A3" s="3"/>
      <c r="B3" s="4" t="s">
        <v>0</v>
      </c>
      <c r="C3" s="4"/>
      <c r="D3" s="4"/>
      <c r="E3" s="4"/>
      <c r="F3" s="4"/>
      <c r="G3" s="4"/>
      <c r="H3" s="4"/>
      <c r="I3" s="3"/>
      <c r="J3" s="3"/>
      <c r="K3" s="3"/>
      <c r="L3" s="3"/>
      <c r="M3" s="3"/>
      <c r="N3" s="3"/>
      <c r="O3" s="3"/>
    </row>
    <row r="4" spans="1:15" ht="14.4" customHeight="1">
      <c r="A4" s="1"/>
      <c r="B4" s="6" t="s">
        <v>1</v>
      </c>
      <c r="C4" s="6"/>
      <c r="D4" s="6"/>
      <c r="E4" s="6"/>
      <c r="F4" s="6"/>
      <c r="G4" s="6"/>
      <c r="H4" s="6"/>
      <c r="I4" s="1"/>
      <c r="J4" s="1"/>
      <c r="K4" s="1"/>
      <c r="L4" s="1"/>
      <c r="M4" s="1"/>
      <c r="N4" s="1"/>
      <c r="O4" s="1"/>
    </row>
    <row r="5" spans="1:15" ht="14.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4.4" customHeight="1">
      <c r="A6" s="1"/>
      <c r="B6" s="7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4.4" customHeight="1">
      <c r="A7" s="1"/>
      <c r="B7" s="8" t="s">
        <v>3</v>
      </c>
      <c r="C7" s="8"/>
      <c r="D7" s="8"/>
      <c r="E7" s="8"/>
      <c r="F7" s="8"/>
      <c r="G7" s="8"/>
      <c r="H7" s="8"/>
      <c r="I7" s="1"/>
      <c r="J7" s="1"/>
      <c r="K7" s="1"/>
      <c r="L7" s="1"/>
      <c r="M7" s="1"/>
      <c r="N7" s="1"/>
      <c r="O7" s="1"/>
    </row>
    <row r="8" spans="1:15" ht="14.4" customHeight="1">
      <c r="A8" s="1"/>
      <c r="B8" s="1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4.4" customHeight="1">
      <c r="A9" s="1"/>
      <c r="B9" s="1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4.4" customHeight="1">
      <c r="A10" s="1"/>
      <c r="B10" s="1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4.4" customHeight="1">
      <c r="A11" s="1"/>
      <c r="B11" s="1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4.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4.4" customHeight="1">
      <c r="A13" s="1"/>
      <c r="B13" s="9" t="s">
        <v>8</v>
      </c>
      <c r="C13" s="1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4.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4.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4.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4.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4.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4.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4.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4.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</sheetData>
  <mergeCells count="2">
    <mergeCell ref="B3:H3"/>
    <mergeCell ref="B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workbookViewId="0">
      <selection sqref="A1:H1"/>
    </sheetView>
  </sheetViews>
  <sheetFormatPr defaultColWidth="8.77734375" defaultRowHeight="14.4"/>
  <cols>
    <col min="1" max="1" width="30" style="2" customWidth="1"/>
    <col min="2" max="15" width="13" style="2" customWidth="1"/>
    <col min="16" max="16384" width="8.77734375" style="2"/>
  </cols>
  <sheetData>
    <row r="1" spans="1:15" ht="18">
      <c r="A1" s="11" t="s">
        <v>9</v>
      </c>
      <c r="B1" s="11"/>
      <c r="C1" s="11"/>
      <c r="D1" s="11"/>
      <c r="E1" s="11"/>
      <c r="F1" s="11"/>
      <c r="G1" s="11"/>
      <c r="H1" s="11"/>
      <c r="I1" s="12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8" t="s">
        <v>15</v>
      </c>
      <c r="G3" s="8"/>
      <c r="H3" s="8"/>
      <c r="I3" s="1"/>
      <c r="J3" s="1"/>
      <c r="K3" s="1"/>
      <c r="L3" s="1"/>
      <c r="M3" s="1"/>
      <c r="N3" s="1"/>
      <c r="O3" s="1"/>
    </row>
    <row r="4" spans="1:15">
      <c r="A4" s="1" t="s">
        <v>16</v>
      </c>
      <c r="B4" s="29">
        <v>0.14000000000000001</v>
      </c>
      <c r="C4" s="29">
        <v>0.12</v>
      </c>
      <c r="D4" s="29">
        <v>0.1</v>
      </c>
      <c r="E4" s="29">
        <v>0.09</v>
      </c>
      <c r="F4" s="29">
        <v>0.08</v>
      </c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17</v>
      </c>
      <c r="B5" s="29">
        <v>0.37</v>
      </c>
      <c r="C5" s="29">
        <v>0.36</v>
      </c>
      <c r="D5" s="29">
        <v>0.35</v>
      </c>
      <c r="E5" s="29">
        <v>0.35</v>
      </c>
      <c r="F5" s="29">
        <v>0.34</v>
      </c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18</v>
      </c>
      <c r="B6" s="29">
        <v>0.34</v>
      </c>
      <c r="C6" s="29">
        <v>0.33</v>
      </c>
      <c r="D6" s="29">
        <v>0.32</v>
      </c>
      <c r="E6" s="29">
        <v>0.31</v>
      </c>
      <c r="F6" s="29">
        <v>0.3</v>
      </c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19</v>
      </c>
      <c r="B7" s="29">
        <v>0.04</v>
      </c>
      <c r="C7" s="29">
        <v>0.04</v>
      </c>
      <c r="D7" s="29">
        <v>0.04</v>
      </c>
      <c r="E7" s="29">
        <v>0.04</v>
      </c>
      <c r="F7" s="29">
        <v>0.04</v>
      </c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20</v>
      </c>
      <c r="B8" s="29">
        <v>0.25</v>
      </c>
      <c r="C8" s="29">
        <v>0.25</v>
      </c>
      <c r="D8" s="29">
        <v>0.25</v>
      </c>
      <c r="E8" s="29">
        <v>0.25</v>
      </c>
      <c r="F8" s="29">
        <v>0.25</v>
      </c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21</v>
      </c>
      <c r="B9" s="30">
        <v>60</v>
      </c>
      <c r="C9" s="30">
        <v>58</v>
      </c>
      <c r="D9" s="30">
        <v>56</v>
      </c>
      <c r="E9" s="30">
        <v>55</v>
      </c>
      <c r="F9" s="30">
        <v>54</v>
      </c>
      <c r="G9" s="1" t="s">
        <v>22</v>
      </c>
      <c r="H9" s="1"/>
      <c r="I9" s="1"/>
      <c r="J9" s="1"/>
      <c r="K9" s="1"/>
      <c r="L9" s="1"/>
      <c r="M9" s="1"/>
      <c r="N9" s="1"/>
      <c r="O9" s="1"/>
    </row>
    <row r="10" spans="1:15">
      <c r="A10" s="1" t="s">
        <v>23</v>
      </c>
      <c r="B10" s="29">
        <v>0.04</v>
      </c>
      <c r="C10" s="29">
        <v>0.04</v>
      </c>
      <c r="D10" s="29">
        <v>0.04</v>
      </c>
      <c r="E10" s="29">
        <v>0.04</v>
      </c>
      <c r="F10" s="29">
        <v>0.04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24</v>
      </c>
      <c r="B11" s="30">
        <v>75</v>
      </c>
      <c r="C11" s="30">
        <v>75</v>
      </c>
      <c r="D11" s="30">
        <v>75</v>
      </c>
      <c r="E11" s="30">
        <v>75</v>
      </c>
      <c r="F11" s="30">
        <v>75</v>
      </c>
      <c r="G11" s="1" t="s">
        <v>22</v>
      </c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25</v>
      </c>
      <c r="B12" s="29">
        <v>6.5000000000000002E-2</v>
      </c>
      <c r="C12" s="29">
        <v>6.5000000000000002E-2</v>
      </c>
      <c r="D12" s="29">
        <v>6.5000000000000002E-2</v>
      </c>
      <c r="E12" s="29">
        <v>6.5000000000000002E-2</v>
      </c>
      <c r="F12" s="29">
        <v>6.5000000000000002E-2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26</v>
      </c>
      <c r="B13" s="29">
        <v>2.8000000000000001E-2</v>
      </c>
      <c r="C13" s="29">
        <v>2.8000000000000001E-2</v>
      </c>
      <c r="D13" s="29">
        <v>2.8000000000000001E-2</v>
      </c>
      <c r="E13" s="29">
        <v>2.8000000000000001E-2</v>
      </c>
      <c r="F13" s="29">
        <v>2.8000000000000001E-2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27</v>
      </c>
      <c r="B14" s="29">
        <v>4.4999999999999998E-2</v>
      </c>
      <c r="C14" s="29">
        <v>4.4999999999999998E-2</v>
      </c>
      <c r="D14" s="29">
        <v>4.4999999999999998E-2</v>
      </c>
      <c r="E14" s="29">
        <v>4.4999999999999998E-2</v>
      </c>
      <c r="F14" s="29">
        <v>4.4999999999999998E-2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28</v>
      </c>
      <c r="B15" s="29">
        <v>3.5000000000000003E-2</v>
      </c>
      <c r="C15" s="29">
        <v>3.5000000000000003E-2</v>
      </c>
      <c r="D15" s="29">
        <v>3.5000000000000003E-2</v>
      </c>
      <c r="E15" s="29">
        <v>3.5000000000000003E-2</v>
      </c>
      <c r="F15" s="29">
        <v>3.5000000000000003E-2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29</v>
      </c>
      <c r="B16" s="29">
        <v>6.5000000000000002E-2</v>
      </c>
      <c r="C16" s="29">
        <v>0.06</v>
      </c>
      <c r="D16" s="29">
        <v>5.5E-2</v>
      </c>
      <c r="E16" s="29">
        <v>0.05</v>
      </c>
      <c r="F16" s="29">
        <v>0.05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30</v>
      </c>
      <c r="B17" s="30">
        <v>42</v>
      </c>
      <c r="C17" s="30">
        <v>40</v>
      </c>
      <c r="D17" s="30">
        <v>37</v>
      </c>
      <c r="E17" s="30">
        <v>33</v>
      </c>
      <c r="F17" s="30">
        <v>28</v>
      </c>
      <c r="G17" s="1" t="s">
        <v>31</v>
      </c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32</v>
      </c>
      <c r="B18" s="29">
        <v>0.09</v>
      </c>
      <c r="C18" s="29">
        <v>0.09</v>
      </c>
      <c r="D18" s="29">
        <v>0.09</v>
      </c>
      <c r="E18" s="29">
        <v>0.09</v>
      </c>
      <c r="F18" s="29">
        <v>0.09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8" t="s">
        <v>33</v>
      </c>
      <c r="B19" s="8"/>
      <c r="C19" s="8"/>
      <c r="D19" s="8"/>
      <c r="E19" s="8"/>
      <c r="F19" s="8"/>
      <c r="G19" s="8"/>
      <c r="H19" s="8"/>
      <c r="I19" s="1"/>
      <c r="J19" s="1"/>
      <c r="K19" s="1"/>
      <c r="L19" s="1"/>
      <c r="M19" s="1"/>
      <c r="N19" s="1"/>
      <c r="O19" s="1"/>
    </row>
    <row r="20" spans="1:15">
      <c r="A20" s="1" t="s">
        <v>34</v>
      </c>
      <c r="B20" s="29">
        <v>4.2000000000000003E-2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35</v>
      </c>
      <c r="B21" s="29">
        <v>5.5E-2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">
        <v>36</v>
      </c>
      <c r="B22" s="29">
        <v>1.1499999999999999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 t="s">
        <v>37</v>
      </c>
      <c r="B23" s="29">
        <v>0.09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 t="s">
        <v>38</v>
      </c>
      <c r="B24" s="29">
        <v>0.15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 t="s">
        <v>39</v>
      </c>
      <c r="B25" s="29">
        <v>0.85</v>
      </c>
      <c r="C25" s="1"/>
      <c r="D25" s="1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 t="s">
        <v>40</v>
      </c>
      <c r="B26" s="30">
        <v>0.03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 t="s">
        <v>41</v>
      </c>
      <c r="B27" s="30">
        <v>25</v>
      </c>
      <c r="C27" s="1" t="s">
        <v>42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workbookViewId="0">
      <selection sqref="A1:D1"/>
    </sheetView>
  </sheetViews>
  <sheetFormatPr defaultColWidth="8.77734375" defaultRowHeight="14.4"/>
  <cols>
    <col min="1" max="1" width="30" style="2" customWidth="1"/>
    <col min="2" max="15" width="13" style="2" customWidth="1"/>
    <col min="16" max="16384" width="8.77734375" style="2"/>
  </cols>
  <sheetData>
    <row r="1" spans="1:15" ht="18">
      <c r="A1" s="11" t="s">
        <v>43</v>
      </c>
      <c r="B1" s="11"/>
      <c r="C1" s="11"/>
      <c r="D1" s="11"/>
      <c r="E1" s="12"/>
      <c r="F1" s="12"/>
      <c r="G1" s="12"/>
      <c r="H1" s="12"/>
      <c r="I1" s="12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8" t="s">
        <v>44</v>
      </c>
      <c r="B3" s="8">
        <v>2023</v>
      </c>
      <c r="C3" s="8">
        <v>2024</v>
      </c>
      <c r="D3" s="8">
        <v>2025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45</v>
      </c>
      <c r="B4" s="60">
        <v>180</v>
      </c>
      <c r="C4" s="60">
        <v>210</v>
      </c>
      <c r="D4" s="60">
        <v>250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46</v>
      </c>
      <c r="B5" s="60">
        <v>-72</v>
      </c>
      <c r="C5" s="60">
        <v>-82</v>
      </c>
      <c r="D5" s="60">
        <v>-95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47</v>
      </c>
      <c r="B6" s="60">
        <v>-70</v>
      </c>
      <c r="C6" s="60">
        <v>-78</v>
      </c>
      <c r="D6" s="60">
        <v>-88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48</v>
      </c>
      <c r="B7" s="60">
        <v>-8</v>
      </c>
      <c r="C7" s="60">
        <v>-9</v>
      </c>
      <c r="D7" s="60">
        <v>-10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49</v>
      </c>
      <c r="B8" s="60">
        <v>-3</v>
      </c>
      <c r="C8" s="60">
        <v>-3</v>
      </c>
      <c r="D8" s="60">
        <v>-4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20</v>
      </c>
      <c r="B9" s="60">
        <v>0.25</v>
      </c>
      <c r="C9" s="60">
        <v>0.25</v>
      </c>
      <c r="D9" s="60">
        <v>0.25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 t="s">
        <v>50</v>
      </c>
      <c r="B10" s="60">
        <v>18</v>
      </c>
      <c r="C10" s="60">
        <v>22</v>
      </c>
      <c r="D10" s="60"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 t="s">
        <v>51</v>
      </c>
      <c r="B11" s="60">
        <v>30</v>
      </c>
      <c r="C11" s="60">
        <v>35</v>
      </c>
      <c r="D11" s="60">
        <v>42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52</v>
      </c>
      <c r="B12" s="60">
        <v>8</v>
      </c>
      <c r="C12" s="60">
        <v>9</v>
      </c>
      <c r="D12" s="60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53</v>
      </c>
      <c r="B13" s="60">
        <v>5</v>
      </c>
      <c r="C13" s="60">
        <v>6</v>
      </c>
      <c r="D13" s="60">
        <v>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54</v>
      </c>
      <c r="B14" s="60">
        <v>45</v>
      </c>
      <c r="C14" s="60">
        <v>50</v>
      </c>
      <c r="D14" s="60">
        <v>57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 t="s">
        <v>55</v>
      </c>
      <c r="B15" s="60">
        <v>9</v>
      </c>
      <c r="C15" s="60">
        <v>10</v>
      </c>
      <c r="D15" s="60"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 t="s">
        <v>56</v>
      </c>
      <c r="B16" s="60">
        <v>18</v>
      </c>
      <c r="C16" s="60">
        <v>21</v>
      </c>
      <c r="D16" s="60">
        <v>25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 t="s">
        <v>57</v>
      </c>
      <c r="B17" s="60">
        <v>12</v>
      </c>
      <c r="C17" s="60">
        <v>14</v>
      </c>
      <c r="D17" s="60">
        <v>16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 t="s">
        <v>30</v>
      </c>
      <c r="B18" s="60">
        <v>35</v>
      </c>
      <c r="C18" s="60">
        <v>38</v>
      </c>
      <c r="D18" s="60">
        <v>42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 t="s">
        <v>58</v>
      </c>
      <c r="B19" s="60">
        <v>7</v>
      </c>
      <c r="C19" s="60">
        <v>8</v>
      </c>
      <c r="D19" s="60">
        <v>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 t="s">
        <v>59</v>
      </c>
      <c r="B20" s="60">
        <v>40</v>
      </c>
      <c r="C20" s="60">
        <v>40</v>
      </c>
      <c r="D20" s="60">
        <v>40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 t="s">
        <v>60</v>
      </c>
      <c r="B21" s="60">
        <v>3</v>
      </c>
      <c r="C21" s="60">
        <v>11</v>
      </c>
      <c r="D21" s="60">
        <v>23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 t="s">
        <v>61</v>
      </c>
      <c r="B22" s="60">
        <v>-12</v>
      </c>
      <c r="C22" s="60">
        <v>-14</v>
      </c>
      <c r="D22" s="60">
        <v>-17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4"/>
      <c r="C23" s="14"/>
      <c r="D23" s="1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4"/>
      <c r="C24" s="14"/>
      <c r="D24" s="1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4"/>
      <c r="C25" s="14"/>
      <c r="D25" s="1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4"/>
      <c r="C26" s="14"/>
      <c r="D26" s="1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4"/>
      <c r="C27" s="14"/>
      <c r="D27" s="1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4"/>
      <c r="C28" s="14"/>
      <c r="D28" s="1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4"/>
      <c r="C29" s="14"/>
      <c r="D29" s="1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4"/>
      <c r="C30" s="14"/>
      <c r="D30" s="1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workbookViewId="0">
      <selection sqref="A1:I1"/>
    </sheetView>
  </sheetViews>
  <sheetFormatPr defaultColWidth="8.77734375" defaultRowHeight="14.4"/>
  <cols>
    <col min="1" max="1" width="30" style="2" customWidth="1"/>
    <col min="2" max="15" width="13" style="2" customWidth="1"/>
    <col min="16" max="16384" width="8.77734375" style="2"/>
  </cols>
  <sheetData>
    <row r="1" spans="1:15" ht="18">
      <c r="A1" s="11" t="s">
        <v>62</v>
      </c>
      <c r="B1" s="11"/>
      <c r="C1" s="11"/>
      <c r="D1" s="11"/>
      <c r="E1" s="11"/>
      <c r="F1" s="11"/>
      <c r="G1" s="11"/>
      <c r="H1" s="11"/>
      <c r="I1" s="1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5" t="s">
        <v>44</v>
      </c>
      <c r="B3" s="16">
        <v>2023</v>
      </c>
      <c r="C3" s="16">
        <v>2024</v>
      </c>
      <c r="D3" s="16">
        <v>2025</v>
      </c>
      <c r="E3" s="16">
        <v>2026</v>
      </c>
      <c r="F3" s="16">
        <v>2027</v>
      </c>
      <c r="G3" s="16">
        <v>2028</v>
      </c>
      <c r="H3" s="16">
        <v>2029</v>
      </c>
      <c r="I3" s="16">
        <v>2030</v>
      </c>
      <c r="J3" s="1"/>
      <c r="K3" s="1"/>
      <c r="L3" s="1"/>
      <c r="M3" s="1"/>
      <c r="N3" s="1"/>
      <c r="O3" s="1"/>
    </row>
    <row r="4" spans="1:15">
      <c r="A4" s="1" t="s">
        <v>45</v>
      </c>
      <c r="B4" s="27">
        <f>'Historical Data'!B4</f>
        <v>180</v>
      </c>
      <c r="C4" s="27">
        <f>'Historical Data'!C4</f>
        <v>210</v>
      </c>
      <c r="D4" s="27">
        <f>'Historical Data'!D4</f>
        <v>250</v>
      </c>
      <c r="E4" s="25">
        <f>D4*(1+E5)</f>
        <v>285.00000000000006</v>
      </c>
      <c r="F4" s="25">
        <f>E4*(1+F5)</f>
        <v>319.2</v>
      </c>
      <c r="G4" s="25">
        <f>F4*(1+G5)</f>
        <v>351.12</v>
      </c>
      <c r="H4" s="25">
        <f>G4*(1+H5)</f>
        <v>382.7208</v>
      </c>
      <c r="I4" s="25">
        <f>H4*(1+I5)</f>
        <v>413.33846399999999</v>
      </c>
      <c r="J4" s="1"/>
      <c r="K4" s="1"/>
      <c r="L4" s="1"/>
      <c r="M4" s="1"/>
      <c r="N4" s="1"/>
      <c r="O4" s="1"/>
    </row>
    <row r="5" spans="1:15">
      <c r="A5" s="1" t="s">
        <v>63</v>
      </c>
      <c r="B5" s="18" t="s">
        <v>64</v>
      </c>
      <c r="C5" s="24">
        <f>C4/B4-1</f>
        <v>0.16666666666666699</v>
      </c>
      <c r="D5" s="24">
        <f>D4/C4-1</f>
        <v>0.19047619047618999</v>
      </c>
      <c r="E5" s="28">
        <f>Assumptions!B4</f>
        <v>0.14000000000000001</v>
      </c>
      <c r="F5" s="28">
        <f>Assumptions!C4</f>
        <v>0.12</v>
      </c>
      <c r="G5" s="28">
        <f>Assumptions!D4</f>
        <v>0.1</v>
      </c>
      <c r="H5" s="28">
        <f>Assumptions!E4</f>
        <v>0.09</v>
      </c>
      <c r="I5" s="28">
        <f>Assumptions!F4</f>
        <v>0.08</v>
      </c>
      <c r="J5" s="1"/>
      <c r="K5" s="1"/>
      <c r="L5" s="1"/>
      <c r="M5" s="1"/>
      <c r="N5" s="1"/>
      <c r="O5" s="1"/>
    </row>
    <row r="6" spans="1:15">
      <c r="A6" s="1"/>
      <c r="B6" s="17"/>
      <c r="C6" s="17"/>
      <c r="D6" s="17"/>
      <c r="E6" s="17"/>
      <c r="F6" s="17"/>
      <c r="G6" s="17"/>
      <c r="H6" s="17"/>
      <c r="I6" s="17"/>
      <c r="J6" s="1"/>
      <c r="K6" s="1"/>
      <c r="L6" s="1"/>
      <c r="M6" s="1"/>
      <c r="N6" s="1"/>
      <c r="O6" s="1"/>
    </row>
    <row r="7" spans="1:15">
      <c r="A7" s="1"/>
      <c r="B7" s="17"/>
      <c r="C7" s="19"/>
      <c r="D7" s="19"/>
      <c r="E7" s="19"/>
      <c r="F7" s="19"/>
      <c r="G7" s="19"/>
      <c r="H7" s="19"/>
      <c r="I7" s="19"/>
      <c r="J7" s="1"/>
      <c r="K7" s="1"/>
      <c r="L7" s="1"/>
      <c r="M7" s="1"/>
      <c r="N7" s="1"/>
      <c r="O7" s="1"/>
    </row>
    <row r="8" spans="1:15">
      <c r="A8" s="1"/>
      <c r="B8" s="17"/>
      <c r="C8" s="17"/>
      <c r="D8" s="17"/>
      <c r="E8" s="17"/>
      <c r="F8" s="17"/>
      <c r="G8" s="17"/>
      <c r="H8" s="17"/>
      <c r="I8" s="17"/>
      <c r="J8" s="1"/>
      <c r="K8" s="1"/>
      <c r="L8" s="1"/>
      <c r="M8" s="1"/>
      <c r="N8" s="1"/>
      <c r="O8" s="1"/>
    </row>
    <row r="9" spans="1:15">
      <c r="A9" s="1"/>
      <c r="B9" s="17"/>
      <c r="C9" s="17"/>
      <c r="D9" s="17"/>
      <c r="E9" s="17"/>
      <c r="F9" s="17"/>
      <c r="G9" s="17"/>
      <c r="H9" s="17"/>
      <c r="I9" s="17"/>
      <c r="J9" s="1"/>
      <c r="K9" s="1"/>
      <c r="L9" s="1"/>
      <c r="M9" s="1"/>
      <c r="N9" s="1"/>
      <c r="O9" s="1"/>
    </row>
    <row r="10" spans="1:15">
      <c r="A10" s="1"/>
      <c r="B10" s="17"/>
      <c r="C10" s="17"/>
      <c r="D10" s="17"/>
      <c r="E10" s="17"/>
      <c r="F10" s="17"/>
      <c r="G10" s="17"/>
      <c r="H10" s="17"/>
      <c r="I10" s="17"/>
      <c r="J10" s="1"/>
      <c r="K10" s="1"/>
      <c r="L10" s="1"/>
      <c r="M10" s="1"/>
      <c r="N10" s="1"/>
      <c r="O10" s="1"/>
    </row>
    <row r="11" spans="1:15">
      <c r="A11" s="1"/>
      <c r="B11" s="17"/>
      <c r="C11" s="17"/>
      <c r="D11" s="17"/>
      <c r="E11" s="17"/>
      <c r="F11" s="17"/>
      <c r="G11" s="17"/>
      <c r="H11" s="17"/>
      <c r="I11" s="17"/>
      <c r="J11" s="1"/>
      <c r="K11" s="1"/>
      <c r="L11" s="1"/>
      <c r="M11" s="1"/>
      <c r="N11" s="1"/>
      <c r="O11" s="1"/>
    </row>
    <row r="12" spans="1:15">
      <c r="A12" s="1"/>
      <c r="B12" s="17"/>
      <c r="C12" s="17"/>
      <c r="D12" s="17"/>
      <c r="E12" s="17"/>
      <c r="F12" s="17"/>
      <c r="G12" s="17"/>
      <c r="H12" s="17"/>
      <c r="I12" s="17"/>
      <c r="J12" s="1"/>
      <c r="K12" s="1"/>
      <c r="L12" s="1"/>
      <c r="M12" s="1"/>
      <c r="N12" s="1"/>
      <c r="O12" s="1"/>
    </row>
    <row r="13" spans="1:15">
      <c r="A13" s="1"/>
      <c r="B13" s="17"/>
      <c r="C13" s="17"/>
      <c r="D13" s="17"/>
      <c r="E13" s="17"/>
      <c r="F13" s="17"/>
      <c r="G13" s="17"/>
      <c r="H13" s="17"/>
      <c r="I13" s="17"/>
      <c r="J13" s="1"/>
      <c r="K13" s="1"/>
      <c r="L13" s="1"/>
      <c r="M13" s="1"/>
      <c r="N13" s="1"/>
      <c r="O13" s="1"/>
    </row>
    <row r="14" spans="1:15">
      <c r="A14" s="1"/>
      <c r="B14" s="17"/>
      <c r="C14" s="17"/>
      <c r="D14" s="17"/>
      <c r="E14" s="17"/>
      <c r="F14" s="17"/>
      <c r="G14" s="17"/>
      <c r="H14" s="17"/>
      <c r="I14" s="17"/>
      <c r="J14" s="1"/>
      <c r="K14" s="1"/>
      <c r="L14" s="1"/>
      <c r="M14" s="1"/>
      <c r="N14" s="1"/>
      <c r="O14" s="1"/>
    </row>
    <row r="15" spans="1:15">
      <c r="A15" s="1"/>
      <c r="B15" s="17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</row>
    <row r="16" spans="1:15">
      <c r="A16" s="1"/>
      <c r="B16" s="17"/>
      <c r="C16" s="17"/>
      <c r="D16" s="17"/>
      <c r="E16" s="17"/>
      <c r="F16" s="17"/>
      <c r="G16" s="17"/>
      <c r="H16" s="17"/>
      <c r="I16" s="17"/>
      <c r="J16" s="1"/>
      <c r="K16" s="1"/>
      <c r="L16" s="1"/>
      <c r="M16" s="1"/>
      <c r="N16" s="1"/>
      <c r="O16" s="1"/>
    </row>
    <row r="17" spans="1:15">
      <c r="A17" s="1"/>
      <c r="B17" s="17"/>
      <c r="C17" s="17"/>
      <c r="D17" s="17"/>
      <c r="E17" s="17"/>
      <c r="F17" s="17"/>
      <c r="G17" s="17"/>
      <c r="H17" s="17"/>
      <c r="I17" s="17"/>
      <c r="J17" s="1"/>
      <c r="K17" s="1"/>
      <c r="L17" s="1"/>
      <c r="M17" s="1"/>
      <c r="N17" s="1"/>
      <c r="O17" s="1"/>
    </row>
    <row r="18" spans="1:15">
      <c r="A18" s="1"/>
      <c r="B18" s="17"/>
      <c r="C18" s="17"/>
      <c r="D18" s="17"/>
      <c r="E18" s="17"/>
      <c r="F18" s="17"/>
      <c r="G18" s="17"/>
      <c r="H18" s="17"/>
      <c r="I18" s="17"/>
      <c r="J18" s="1"/>
      <c r="K18" s="1"/>
      <c r="L18" s="1"/>
      <c r="M18" s="1"/>
      <c r="N18" s="1"/>
      <c r="O18" s="1"/>
    </row>
    <row r="19" spans="1:15">
      <c r="A19" s="1"/>
      <c r="B19" s="17"/>
      <c r="C19" s="17"/>
      <c r="D19" s="17"/>
      <c r="E19" s="17"/>
      <c r="F19" s="17"/>
      <c r="G19" s="17"/>
      <c r="H19" s="17"/>
      <c r="I19" s="17"/>
      <c r="J19" s="1"/>
      <c r="K19" s="1"/>
      <c r="L19" s="1"/>
      <c r="M19" s="1"/>
      <c r="N19" s="1"/>
      <c r="O19" s="1"/>
    </row>
    <row r="20" spans="1:15">
      <c r="A20" s="1"/>
      <c r="B20" s="17"/>
      <c r="C20" s="17"/>
      <c r="D20" s="17"/>
      <c r="E20" s="17"/>
      <c r="F20" s="17"/>
      <c r="G20" s="17"/>
      <c r="H20" s="17"/>
      <c r="I20" s="17"/>
      <c r="J20" s="1"/>
      <c r="K20" s="1"/>
      <c r="L20" s="1"/>
      <c r="M20" s="1"/>
      <c r="N20" s="1"/>
      <c r="O20" s="1"/>
    </row>
    <row r="21" spans="1:15">
      <c r="A21" s="1"/>
      <c r="B21" s="17"/>
      <c r="C21" s="17"/>
      <c r="D21" s="17"/>
      <c r="E21" s="17"/>
      <c r="F21" s="17"/>
      <c r="G21" s="17"/>
      <c r="H21" s="17"/>
      <c r="I21" s="17"/>
      <c r="J21" s="1"/>
      <c r="K21" s="1"/>
      <c r="L21" s="1"/>
      <c r="M21" s="1"/>
      <c r="N21" s="1"/>
      <c r="O21" s="1"/>
    </row>
    <row r="22" spans="1:15">
      <c r="A22" s="1"/>
      <c r="B22" s="17"/>
      <c r="C22" s="17"/>
      <c r="D22" s="17"/>
      <c r="E22" s="17"/>
      <c r="F22" s="17"/>
      <c r="G22" s="17"/>
      <c r="H22" s="17"/>
      <c r="I22" s="17"/>
      <c r="J22" s="1"/>
      <c r="K22" s="1"/>
      <c r="L22" s="1"/>
      <c r="M22" s="1"/>
      <c r="N22" s="1"/>
      <c r="O22" s="1"/>
    </row>
    <row r="23" spans="1:15">
      <c r="A23" s="1"/>
      <c r="B23" s="17"/>
      <c r="C23" s="17"/>
      <c r="D23" s="17"/>
      <c r="E23" s="17"/>
      <c r="F23" s="17"/>
      <c r="G23" s="17"/>
      <c r="H23" s="17"/>
      <c r="I23" s="17"/>
      <c r="J23" s="1"/>
      <c r="K23" s="1"/>
      <c r="L23" s="1"/>
      <c r="M23" s="1"/>
      <c r="N23" s="1"/>
      <c r="O23" s="1"/>
    </row>
    <row r="24" spans="1:15">
      <c r="A24" s="1"/>
      <c r="B24" s="17"/>
      <c r="C24" s="17"/>
      <c r="D24" s="17"/>
      <c r="E24" s="17"/>
      <c r="F24" s="17"/>
      <c r="G24" s="17"/>
      <c r="H24" s="17"/>
      <c r="I24" s="17"/>
      <c r="J24" s="1"/>
      <c r="K24" s="1"/>
      <c r="L24" s="1"/>
      <c r="M24" s="1"/>
      <c r="N24" s="1"/>
      <c r="O24" s="1"/>
    </row>
    <row r="25" spans="1:15">
      <c r="A25" s="1"/>
      <c r="B25" s="17"/>
      <c r="C25" s="17"/>
      <c r="D25" s="17"/>
      <c r="E25" s="17"/>
      <c r="F25" s="17"/>
      <c r="G25" s="17"/>
      <c r="H25" s="17"/>
      <c r="I25" s="17"/>
      <c r="J25" s="1"/>
      <c r="K25" s="1"/>
      <c r="L25" s="1"/>
      <c r="M25" s="1"/>
      <c r="N25" s="1"/>
      <c r="O25" s="1"/>
    </row>
    <row r="26" spans="1:15">
      <c r="A26" s="1"/>
      <c r="B26" s="17"/>
      <c r="C26" s="17"/>
      <c r="D26" s="17"/>
      <c r="E26" s="17"/>
      <c r="F26" s="17"/>
      <c r="G26" s="17"/>
      <c r="H26" s="17"/>
      <c r="I26" s="17"/>
      <c r="J26" s="1"/>
      <c r="K26" s="1"/>
      <c r="L26" s="1"/>
      <c r="M26" s="1"/>
      <c r="N26" s="1"/>
      <c r="O26" s="1"/>
    </row>
    <row r="27" spans="1:15">
      <c r="A27" s="1"/>
      <c r="B27" s="17"/>
      <c r="C27" s="17"/>
      <c r="D27" s="17"/>
      <c r="E27" s="17"/>
      <c r="F27" s="17"/>
      <c r="G27" s="17"/>
      <c r="H27" s="17"/>
      <c r="I27" s="17"/>
      <c r="J27" s="1"/>
      <c r="K27" s="1"/>
      <c r="L27" s="1"/>
      <c r="M27" s="1"/>
      <c r="N27" s="1"/>
      <c r="O27" s="1"/>
    </row>
    <row r="28" spans="1:15">
      <c r="A28" s="1"/>
      <c r="B28" s="17"/>
      <c r="C28" s="17"/>
      <c r="D28" s="17"/>
      <c r="E28" s="17"/>
      <c r="F28" s="17"/>
      <c r="G28" s="17"/>
      <c r="H28" s="17"/>
      <c r="I28" s="17"/>
      <c r="J28" s="1"/>
      <c r="K28" s="1"/>
      <c r="L28" s="1"/>
      <c r="M28" s="1"/>
      <c r="N28" s="1"/>
      <c r="O28" s="1"/>
    </row>
    <row r="29" spans="1:15">
      <c r="A29" s="1"/>
      <c r="B29" s="17"/>
      <c r="C29" s="17"/>
      <c r="D29" s="17"/>
      <c r="E29" s="17"/>
      <c r="F29" s="17"/>
      <c r="G29" s="17"/>
      <c r="H29" s="17"/>
      <c r="I29" s="17"/>
      <c r="J29" s="1"/>
      <c r="K29" s="1"/>
      <c r="L29" s="1"/>
      <c r="M29" s="1"/>
      <c r="N29" s="1"/>
      <c r="O29" s="1"/>
    </row>
    <row r="30" spans="1:15">
      <c r="A30" s="1"/>
      <c r="B30" s="17"/>
      <c r="C30" s="17"/>
      <c r="D30" s="17"/>
      <c r="E30" s="17"/>
      <c r="F30" s="17"/>
      <c r="G30" s="17"/>
      <c r="H30" s="17"/>
      <c r="I30" s="17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0"/>
  <sheetViews>
    <sheetView workbookViewId="0">
      <selection sqref="A1:I1"/>
    </sheetView>
  </sheetViews>
  <sheetFormatPr defaultColWidth="8.77734375" defaultRowHeight="14.4"/>
  <cols>
    <col min="1" max="1" width="30" style="59" customWidth="1"/>
    <col min="2" max="15" width="13" style="52" customWidth="1"/>
    <col min="16" max="16384" width="8.77734375" style="52"/>
  </cols>
  <sheetData>
    <row r="1" spans="1:15" ht="18">
      <c r="A1" s="57" t="s">
        <v>65</v>
      </c>
      <c r="B1" s="57"/>
      <c r="C1" s="57"/>
      <c r="D1" s="57"/>
      <c r="E1" s="57"/>
      <c r="F1" s="57"/>
      <c r="G1" s="57"/>
      <c r="H1" s="57"/>
      <c r="I1" s="57"/>
      <c r="J1" s="51"/>
      <c r="K1" s="51"/>
      <c r="L1" s="51"/>
      <c r="M1" s="51"/>
      <c r="N1" s="51"/>
      <c r="O1" s="51"/>
    </row>
    <row r="2" spans="1:15">
      <c r="A2" s="34"/>
      <c r="B2" s="34"/>
      <c r="C2" s="34"/>
      <c r="D2" s="34"/>
      <c r="E2" s="34"/>
      <c r="F2" s="34"/>
      <c r="G2" s="34"/>
      <c r="H2" s="34"/>
      <c r="I2" s="34"/>
      <c r="J2" s="51"/>
      <c r="K2" s="51"/>
      <c r="L2" s="51"/>
      <c r="M2" s="51"/>
      <c r="N2" s="51"/>
      <c r="O2" s="51"/>
    </row>
    <row r="3" spans="1:15">
      <c r="A3" s="58" t="s">
        <v>44</v>
      </c>
      <c r="B3" s="50">
        <v>2023</v>
      </c>
      <c r="C3" s="50">
        <v>2024</v>
      </c>
      <c r="D3" s="50">
        <v>2025</v>
      </c>
      <c r="E3" s="50">
        <v>2026</v>
      </c>
      <c r="F3" s="50">
        <v>2027</v>
      </c>
      <c r="G3" s="50">
        <v>2028</v>
      </c>
      <c r="H3" s="50">
        <v>2029</v>
      </c>
      <c r="I3" s="50">
        <v>2030</v>
      </c>
      <c r="J3" s="51"/>
      <c r="K3" s="51"/>
      <c r="L3" s="51"/>
      <c r="M3" s="51"/>
      <c r="N3" s="51"/>
      <c r="O3" s="51"/>
    </row>
    <row r="4" spans="1:15">
      <c r="A4" s="34" t="s">
        <v>45</v>
      </c>
      <c r="B4" s="53">
        <f>'Historical Data'!B4</f>
        <v>180</v>
      </c>
      <c r="C4" s="53">
        <f>'Historical Data'!C4</f>
        <v>210</v>
      </c>
      <c r="D4" s="53">
        <f>'Historical Data'!D4</f>
        <v>250</v>
      </c>
      <c r="E4" s="53">
        <f>'Revenue Build'!E4</f>
        <v>285</v>
      </c>
      <c r="F4" s="53">
        <f>'Revenue Build'!F4</f>
        <v>319.2</v>
      </c>
      <c r="G4" s="53">
        <f>'Revenue Build'!G4</f>
        <v>351.12</v>
      </c>
      <c r="H4" s="53">
        <f>'Revenue Build'!H4</f>
        <v>382.7208</v>
      </c>
      <c r="I4" s="53">
        <f>'Revenue Build'!I4</f>
        <v>413.33846399999999</v>
      </c>
      <c r="J4" s="51"/>
      <c r="K4" s="51"/>
      <c r="L4" s="51"/>
      <c r="M4" s="51"/>
      <c r="N4" s="51"/>
      <c r="O4" s="51"/>
    </row>
    <row r="5" spans="1:15">
      <c r="A5" s="34" t="s">
        <v>46</v>
      </c>
      <c r="B5" s="53">
        <f>'Historical Data'!B5</f>
        <v>-72</v>
      </c>
      <c r="C5" s="53">
        <f>'Historical Data'!C5</f>
        <v>-82</v>
      </c>
      <c r="D5" s="53">
        <f>'Historical Data'!D5</f>
        <v>-95</v>
      </c>
      <c r="E5" s="53">
        <f>-E4*Assumptions!B5</f>
        <v>-105.45</v>
      </c>
      <c r="F5" s="53">
        <f>-F4*Assumptions!C5</f>
        <v>-114.91200000000001</v>
      </c>
      <c r="G5" s="53">
        <f>-G4*Assumptions!D5</f>
        <v>-122.892</v>
      </c>
      <c r="H5" s="53">
        <f>-H4*Assumptions!E5</f>
        <v>-133.95228</v>
      </c>
      <c r="I5" s="53">
        <f>-I4*Assumptions!F5</f>
        <v>-140.53507776000001</v>
      </c>
      <c r="J5" s="51"/>
      <c r="K5" s="51"/>
      <c r="L5" s="51"/>
      <c r="M5" s="51"/>
      <c r="N5" s="51"/>
      <c r="O5" s="51"/>
    </row>
    <row r="6" spans="1:15">
      <c r="A6" s="35" t="s">
        <v>66</v>
      </c>
      <c r="B6" s="55">
        <f t="shared" ref="B6:I6" si="0">SUM(B4:B5)</f>
        <v>108</v>
      </c>
      <c r="C6" s="55">
        <f t="shared" si="0"/>
        <v>128</v>
      </c>
      <c r="D6" s="55">
        <f t="shared" si="0"/>
        <v>155</v>
      </c>
      <c r="E6" s="55">
        <f t="shared" si="0"/>
        <v>179.55</v>
      </c>
      <c r="F6" s="55">
        <f t="shared" si="0"/>
        <v>204.28800000000001</v>
      </c>
      <c r="G6" s="55">
        <f t="shared" si="0"/>
        <v>228.22800000000001</v>
      </c>
      <c r="H6" s="55">
        <f t="shared" si="0"/>
        <v>248.76852</v>
      </c>
      <c r="I6" s="55">
        <f t="shared" si="0"/>
        <v>272.80338624000001</v>
      </c>
      <c r="J6" s="70"/>
      <c r="K6" s="51"/>
      <c r="L6" s="51"/>
      <c r="M6" s="51"/>
      <c r="N6" s="51"/>
      <c r="O6" s="51"/>
    </row>
    <row r="7" spans="1:15">
      <c r="A7" s="34" t="s">
        <v>47</v>
      </c>
      <c r="B7" s="53">
        <f>'Historical Data'!B6</f>
        <v>-70</v>
      </c>
      <c r="C7" s="53">
        <f>'Historical Data'!C6</f>
        <v>-78</v>
      </c>
      <c r="D7" s="53">
        <f>'Historical Data'!D6</f>
        <v>-88</v>
      </c>
      <c r="E7" s="53">
        <f>-E4*Assumptions!B6</f>
        <v>-96.9</v>
      </c>
      <c r="F7" s="53">
        <f>-F4*Assumptions!C6</f>
        <v>-105.336</v>
      </c>
      <c r="G7" s="53">
        <f>-G4*Assumptions!D6</f>
        <v>-112.3584</v>
      </c>
      <c r="H7" s="53">
        <f>-H4*Assumptions!E6</f>
        <v>-118.64344800000001</v>
      </c>
      <c r="I7" s="53">
        <f>-I4*Assumptions!F6</f>
        <v>-124.0015392</v>
      </c>
      <c r="J7" s="51"/>
      <c r="K7" s="51"/>
      <c r="L7" s="51"/>
      <c r="M7" s="51"/>
      <c r="N7" s="51"/>
      <c r="O7" s="51"/>
    </row>
    <row r="8" spans="1:15">
      <c r="A8" s="35" t="s">
        <v>67</v>
      </c>
      <c r="B8" s="54">
        <f t="shared" ref="B8:I8" si="1">SUM(B6:B7)</f>
        <v>38</v>
      </c>
      <c r="C8" s="54">
        <f t="shared" si="1"/>
        <v>50</v>
      </c>
      <c r="D8" s="54">
        <f t="shared" si="1"/>
        <v>67</v>
      </c>
      <c r="E8" s="54">
        <f t="shared" si="1"/>
        <v>82.65</v>
      </c>
      <c r="F8" s="54">
        <f t="shared" si="1"/>
        <v>98.952000000000012</v>
      </c>
      <c r="G8" s="54">
        <f t="shared" si="1"/>
        <v>115.86960000000001</v>
      </c>
      <c r="H8" s="54">
        <f t="shared" si="1"/>
        <v>130.12507199999999</v>
      </c>
      <c r="I8" s="54">
        <f t="shared" si="1"/>
        <v>148.80184704000001</v>
      </c>
      <c r="J8" s="51"/>
      <c r="K8" s="51"/>
      <c r="L8" s="51"/>
      <c r="M8" s="51"/>
      <c r="N8" s="51"/>
      <c r="O8" s="51"/>
    </row>
    <row r="9" spans="1:15">
      <c r="A9" s="34" t="s">
        <v>48</v>
      </c>
      <c r="B9" s="53">
        <f>'Historical Data'!B7</f>
        <v>-8</v>
      </c>
      <c r="C9" s="53">
        <f>'Historical Data'!C7</f>
        <v>-9</v>
      </c>
      <c r="D9" s="53">
        <f>'Historical Data'!D7</f>
        <v>-10</v>
      </c>
      <c r="E9" s="53">
        <f>-E4*Assumptions!B7</f>
        <v>-11.4</v>
      </c>
      <c r="F9" s="53">
        <f>-F4*Assumptions!C7</f>
        <v>-12.768000000000001</v>
      </c>
      <c r="G9" s="53">
        <f>-G4*Assumptions!D7</f>
        <v>-14.0448</v>
      </c>
      <c r="H9" s="53">
        <f>-H4*Assumptions!E7</f>
        <v>-15.308832000000001</v>
      </c>
      <c r="I9" s="53">
        <f>-I4*Assumptions!F7</f>
        <v>-16.53353856</v>
      </c>
      <c r="J9" s="51"/>
      <c r="K9" s="51"/>
      <c r="L9" s="51"/>
      <c r="M9" s="51"/>
      <c r="N9" s="51"/>
      <c r="O9" s="51"/>
    </row>
    <row r="10" spans="1:15">
      <c r="A10" s="35" t="s">
        <v>68</v>
      </c>
      <c r="B10" s="54">
        <f t="shared" ref="B10:I10" si="2">SUM(B8:B9)</f>
        <v>30</v>
      </c>
      <c r="C10" s="54">
        <f t="shared" si="2"/>
        <v>41</v>
      </c>
      <c r="D10" s="54">
        <f t="shared" si="2"/>
        <v>57</v>
      </c>
      <c r="E10" s="54">
        <f t="shared" si="2"/>
        <v>71.25</v>
      </c>
      <c r="F10" s="54">
        <f t="shared" si="2"/>
        <v>86.184000000000012</v>
      </c>
      <c r="G10" s="54">
        <f t="shared" si="2"/>
        <v>101.82480000000001</v>
      </c>
      <c r="H10" s="54">
        <f t="shared" si="2"/>
        <v>114.81623999999999</v>
      </c>
      <c r="I10" s="54">
        <f t="shared" si="2"/>
        <v>132.26830848</v>
      </c>
      <c r="J10" s="51"/>
      <c r="K10" s="51"/>
      <c r="L10" s="51"/>
      <c r="M10" s="51"/>
      <c r="N10" s="51"/>
      <c r="O10" s="51"/>
    </row>
    <row r="11" spans="1:15">
      <c r="A11" s="34" t="s">
        <v>49</v>
      </c>
      <c r="B11" s="53">
        <f>'Historical Data'!B8</f>
        <v>-3</v>
      </c>
      <c r="C11" s="53">
        <f>'Historical Data'!C8</f>
        <v>-3</v>
      </c>
      <c r="D11" s="53">
        <f>'Historical Data'!D8</f>
        <v>-4</v>
      </c>
      <c r="E11" s="53">
        <f>-Assumptions!B17*Assumptions!B18</f>
        <v>-3.78</v>
      </c>
      <c r="F11" s="53">
        <f>-Assumptions!C17*Assumptions!C18</f>
        <v>-3.6</v>
      </c>
      <c r="G11" s="53">
        <f>-Assumptions!D17*Assumptions!D18</f>
        <v>-3.33</v>
      </c>
      <c r="H11" s="53">
        <f>-Assumptions!E17*Assumptions!E18</f>
        <v>-2.97</v>
      </c>
      <c r="I11" s="53">
        <f>-Assumptions!F17*Assumptions!F18</f>
        <v>-2.52</v>
      </c>
      <c r="J11" s="51"/>
      <c r="K11" s="51"/>
      <c r="L11" s="51"/>
      <c r="M11" s="51"/>
      <c r="N11" s="51"/>
      <c r="O11" s="51"/>
    </row>
    <row r="12" spans="1:15">
      <c r="A12" s="35" t="s">
        <v>69</v>
      </c>
      <c r="B12" s="54">
        <f t="shared" ref="B12:I12" si="3">SUM(B10:B11)</f>
        <v>27</v>
      </c>
      <c r="C12" s="54">
        <f t="shared" si="3"/>
        <v>38</v>
      </c>
      <c r="D12" s="54">
        <f t="shared" si="3"/>
        <v>53</v>
      </c>
      <c r="E12" s="54">
        <f t="shared" si="3"/>
        <v>67.47</v>
      </c>
      <c r="F12" s="54">
        <f t="shared" si="3"/>
        <v>82.584000000000017</v>
      </c>
      <c r="G12" s="54">
        <f t="shared" si="3"/>
        <v>98.494800000000012</v>
      </c>
      <c r="H12" s="54">
        <f t="shared" si="3"/>
        <v>111.84623999999999</v>
      </c>
      <c r="I12" s="54">
        <f t="shared" si="3"/>
        <v>129.74830847999999</v>
      </c>
      <c r="J12" s="51"/>
      <c r="K12" s="51"/>
      <c r="L12" s="51"/>
      <c r="M12" s="51"/>
      <c r="N12" s="51"/>
      <c r="O12" s="51"/>
    </row>
    <row r="13" spans="1:15">
      <c r="A13" s="34" t="s">
        <v>70</v>
      </c>
      <c r="B13" s="53">
        <f>-MAX(0,B12*'Historical Data'!B9)</f>
        <v>-6.75</v>
      </c>
      <c r="C13" s="53">
        <f>-MAX(0,C12*'Historical Data'!C9)</f>
        <v>-9.5</v>
      </c>
      <c r="D13" s="53">
        <f>-MAX(0,D12*'Historical Data'!D9)</f>
        <v>-13.25</v>
      </c>
      <c r="E13" s="53">
        <f>-MAX(0,E12*Assumptions!B8)</f>
        <v>-16.8675</v>
      </c>
      <c r="F13" s="53">
        <f>-MAX(0,F12*Assumptions!C8)</f>
        <v>-20.646000000000004</v>
      </c>
      <c r="G13" s="53">
        <f>-MAX(0,G12*Assumptions!D8)</f>
        <v>-24.623700000000003</v>
      </c>
      <c r="H13" s="53">
        <f>-MAX(0,H12*Assumptions!E8)</f>
        <v>-27.961559999999999</v>
      </c>
      <c r="I13" s="53">
        <f>-MAX(0,I12*Assumptions!F8)</f>
        <v>-32.437077119999998</v>
      </c>
      <c r="J13" s="51"/>
      <c r="K13" s="51"/>
      <c r="L13" s="51"/>
      <c r="M13" s="51"/>
      <c r="N13" s="51"/>
      <c r="O13" s="51"/>
    </row>
    <row r="14" spans="1:15">
      <c r="A14" s="35" t="s">
        <v>71</v>
      </c>
      <c r="B14" s="54">
        <f t="shared" ref="B14:I14" si="4">SUM(B12:B13)</f>
        <v>20.25</v>
      </c>
      <c r="C14" s="54">
        <f t="shared" si="4"/>
        <v>28.5</v>
      </c>
      <c r="D14" s="54">
        <f t="shared" si="4"/>
        <v>39.75</v>
      </c>
      <c r="E14" s="54">
        <f t="shared" si="4"/>
        <v>50.602499999999999</v>
      </c>
      <c r="F14" s="54">
        <f t="shared" si="4"/>
        <v>61.938000000000017</v>
      </c>
      <c r="G14" s="54">
        <f t="shared" si="4"/>
        <v>73.871100000000013</v>
      </c>
      <c r="H14" s="54">
        <f t="shared" si="4"/>
        <v>83.884680000000003</v>
      </c>
      <c r="I14" s="54">
        <f t="shared" si="4"/>
        <v>97.311231359999994</v>
      </c>
      <c r="J14" s="51"/>
      <c r="K14" s="51"/>
      <c r="L14" s="51"/>
      <c r="M14" s="51"/>
      <c r="N14" s="51"/>
      <c r="O14" s="51"/>
    </row>
    <row r="15" spans="1:15">
      <c r="A15" s="34"/>
      <c r="B15" s="51"/>
      <c r="C15" s="51"/>
      <c r="D15" s="51"/>
      <c r="E15" s="56"/>
      <c r="F15" s="56"/>
      <c r="G15" s="56"/>
      <c r="H15" s="56"/>
      <c r="I15" s="56"/>
      <c r="J15" s="51"/>
      <c r="K15" s="51"/>
      <c r="L15" s="51"/>
      <c r="M15" s="51"/>
      <c r="N15" s="51"/>
      <c r="O15" s="51"/>
    </row>
    <row r="16" spans="1:15">
      <c r="A16" s="34"/>
      <c r="B16" s="51"/>
      <c r="C16" s="51"/>
      <c r="D16" s="51"/>
      <c r="E16" s="56"/>
      <c r="F16" s="56"/>
      <c r="G16" s="56"/>
      <c r="H16" s="56"/>
      <c r="I16" s="56"/>
      <c r="J16" s="51"/>
      <c r="K16" s="51"/>
      <c r="L16" s="51"/>
      <c r="M16" s="51"/>
      <c r="N16" s="51"/>
      <c r="O16" s="51"/>
    </row>
    <row r="17" spans="1:15">
      <c r="A17" s="34"/>
      <c r="B17" s="51"/>
      <c r="C17" s="51"/>
      <c r="D17" s="51"/>
      <c r="E17" s="56"/>
      <c r="F17" s="56"/>
      <c r="G17" s="56"/>
      <c r="H17" s="56"/>
      <c r="I17" s="56"/>
      <c r="J17" s="51"/>
      <c r="K17" s="51"/>
      <c r="L17" s="51"/>
      <c r="M17" s="51"/>
      <c r="N17" s="51"/>
      <c r="O17" s="51"/>
    </row>
    <row r="18" spans="1:15">
      <c r="A18" s="34"/>
      <c r="B18" s="51"/>
      <c r="C18" s="51"/>
      <c r="D18" s="51"/>
      <c r="E18" s="56"/>
      <c r="F18" s="56"/>
      <c r="G18" s="56"/>
      <c r="H18" s="56"/>
      <c r="I18" s="56"/>
      <c r="J18" s="51"/>
      <c r="K18" s="51"/>
      <c r="L18" s="51"/>
      <c r="M18" s="51"/>
      <c r="N18" s="51"/>
      <c r="O18" s="51"/>
    </row>
    <row r="19" spans="1:15">
      <c r="A19" s="34"/>
      <c r="B19" s="51"/>
      <c r="C19" s="51"/>
      <c r="D19" s="51"/>
      <c r="E19" s="56"/>
      <c r="F19" s="56"/>
      <c r="G19" s="56"/>
      <c r="H19" s="56"/>
      <c r="I19" s="56"/>
      <c r="J19" s="51"/>
      <c r="K19" s="51"/>
      <c r="L19" s="51"/>
      <c r="M19" s="51"/>
      <c r="N19" s="51"/>
      <c r="O19" s="51"/>
    </row>
    <row r="20" spans="1:15">
      <c r="A20" s="34"/>
      <c r="B20" s="51"/>
      <c r="C20" s="51"/>
      <c r="D20" s="51"/>
      <c r="E20" s="56"/>
      <c r="F20" s="56"/>
      <c r="G20" s="56"/>
      <c r="H20" s="56"/>
      <c r="I20" s="56"/>
      <c r="J20" s="51"/>
      <c r="K20" s="51"/>
      <c r="L20" s="51"/>
      <c r="M20" s="51"/>
      <c r="N20" s="51"/>
      <c r="O20" s="51"/>
    </row>
    <row r="21" spans="1:15">
      <c r="A21" s="34"/>
      <c r="B21" s="51"/>
      <c r="C21" s="51"/>
      <c r="D21" s="51"/>
      <c r="E21" s="56"/>
      <c r="F21" s="56"/>
      <c r="G21" s="56"/>
      <c r="H21" s="56"/>
      <c r="I21" s="56"/>
      <c r="J21" s="51"/>
      <c r="K21" s="51"/>
      <c r="L21" s="51"/>
      <c r="M21" s="51"/>
      <c r="N21" s="51"/>
      <c r="O21" s="51"/>
    </row>
    <row r="22" spans="1:15">
      <c r="A22" s="34"/>
      <c r="B22" s="51"/>
      <c r="C22" s="51"/>
      <c r="D22" s="51"/>
      <c r="E22" s="56"/>
      <c r="F22" s="56"/>
      <c r="G22" s="56"/>
      <c r="H22" s="56"/>
      <c r="I22" s="56"/>
      <c r="J22" s="51"/>
      <c r="K22" s="51"/>
      <c r="L22" s="51"/>
      <c r="M22" s="51"/>
      <c r="N22" s="51"/>
      <c r="O22" s="51"/>
    </row>
    <row r="23" spans="1:15">
      <c r="A23" s="34"/>
      <c r="B23" s="51"/>
      <c r="C23" s="51"/>
      <c r="D23" s="51"/>
      <c r="E23" s="56"/>
      <c r="F23" s="56"/>
      <c r="G23" s="56"/>
      <c r="H23" s="56"/>
      <c r="I23" s="56"/>
      <c r="J23" s="51"/>
      <c r="K23" s="51"/>
      <c r="L23" s="51"/>
      <c r="M23" s="51"/>
      <c r="N23" s="51"/>
      <c r="O23" s="51"/>
    </row>
    <row r="24" spans="1:15">
      <c r="A24" s="34"/>
      <c r="B24" s="51"/>
      <c r="C24" s="51"/>
      <c r="D24" s="51"/>
      <c r="E24" s="56"/>
      <c r="F24" s="56"/>
      <c r="G24" s="56"/>
      <c r="H24" s="56"/>
      <c r="I24" s="56"/>
      <c r="J24" s="51"/>
      <c r="K24" s="51"/>
      <c r="L24" s="51"/>
      <c r="M24" s="51"/>
      <c r="N24" s="51"/>
      <c r="O24" s="51"/>
    </row>
    <row r="25" spans="1:15">
      <c r="A25" s="34"/>
      <c r="B25" s="51"/>
      <c r="C25" s="51"/>
      <c r="D25" s="51"/>
      <c r="E25" s="56"/>
      <c r="F25" s="56"/>
      <c r="G25" s="56"/>
      <c r="H25" s="56"/>
      <c r="I25" s="56"/>
      <c r="J25" s="51"/>
      <c r="K25" s="51"/>
      <c r="L25" s="51"/>
      <c r="M25" s="51"/>
      <c r="N25" s="51"/>
      <c r="O25" s="51"/>
    </row>
    <row r="26" spans="1:15">
      <c r="A26" s="34"/>
      <c r="B26" s="51"/>
      <c r="C26" s="51"/>
      <c r="D26" s="51"/>
      <c r="E26" s="56"/>
      <c r="F26" s="56"/>
      <c r="G26" s="56"/>
      <c r="H26" s="56"/>
      <c r="I26" s="56"/>
      <c r="J26" s="51"/>
      <c r="K26" s="51"/>
      <c r="L26" s="51"/>
      <c r="M26" s="51"/>
      <c r="N26" s="51"/>
      <c r="O26" s="51"/>
    </row>
    <row r="27" spans="1:15">
      <c r="A27" s="34"/>
      <c r="B27" s="51"/>
      <c r="C27" s="51"/>
      <c r="D27" s="51"/>
      <c r="E27" s="56"/>
      <c r="F27" s="56"/>
      <c r="G27" s="56"/>
      <c r="H27" s="56"/>
      <c r="I27" s="56"/>
      <c r="J27" s="51"/>
      <c r="K27" s="51"/>
      <c r="L27" s="51"/>
      <c r="M27" s="51"/>
      <c r="N27" s="51"/>
      <c r="O27" s="51"/>
    </row>
    <row r="28" spans="1:15">
      <c r="A28" s="34"/>
      <c r="B28" s="51"/>
      <c r="C28" s="51"/>
      <c r="D28" s="51"/>
      <c r="E28" s="56"/>
      <c r="F28" s="56"/>
      <c r="G28" s="56"/>
      <c r="H28" s="56"/>
      <c r="I28" s="56"/>
      <c r="J28" s="51"/>
      <c r="K28" s="51"/>
      <c r="L28" s="51"/>
      <c r="M28" s="51"/>
      <c r="N28" s="51"/>
      <c r="O28" s="51"/>
    </row>
    <row r="29" spans="1:15">
      <c r="A29" s="34"/>
      <c r="B29" s="51"/>
      <c r="C29" s="51"/>
      <c r="D29" s="51"/>
      <c r="E29" s="56"/>
      <c r="F29" s="56"/>
      <c r="G29" s="56"/>
      <c r="H29" s="56"/>
      <c r="I29" s="56"/>
      <c r="J29" s="51"/>
      <c r="K29" s="51"/>
      <c r="L29" s="51"/>
      <c r="M29" s="51"/>
      <c r="N29" s="51"/>
      <c r="O29" s="51"/>
    </row>
    <row r="30" spans="1:15">
      <c r="A30" s="34"/>
      <c r="B30" s="51"/>
      <c r="C30" s="51"/>
      <c r="D30" s="51"/>
      <c r="E30" s="56"/>
      <c r="F30" s="56"/>
      <c r="G30" s="56"/>
      <c r="H30" s="56"/>
      <c r="I30" s="56"/>
      <c r="J30" s="51"/>
      <c r="K30" s="51"/>
      <c r="L30" s="51"/>
      <c r="M30" s="51"/>
      <c r="N30" s="51"/>
      <c r="O30" s="51"/>
    </row>
    <row r="31" spans="1:15">
      <c r="A31" s="34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</row>
    <row r="32" spans="1:15">
      <c r="A32" s="34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</row>
    <row r="33" spans="1:15">
      <c r="A33" s="34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</row>
    <row r="34" spans="1:15">
      <c r="A34" s="34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</row>
    <row r="35" spans="1:15">
      <c r="A35" s="34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</row>
    <row r="36" spans="1:15">
      <c r="A36" s="34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</row>
    <row r="37" spans="1:15">
      <c r="A37" s="34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</row>
    <row r="38" spans="1:15">
      <c r="A38" s="34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</row>
    <row r="39" spans="1:15">
      <c r="A39" s="34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</row>
    <row r="40" spans="1:15">
      <c r="A40" s="34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</row>
  </sheetData>
  <mergeCells count="1">
    <mergeCell ref="A1:I1"/>
  </mergeCells>
  <pageMargins left="0.7" right="0.7" top="0.75" bottom="0.75" header="0.3" footer="0.3"/>
  <ignoredErrors>
    <ignoredError sqref="B13:I13 B11:I11 B9:I9 B7:I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workbookViewId="0">
      <selection sqref="A1:I1"/>
    </sheetView>
  </sheetViews>
  <sheetFormatPr defaultColWidth="8.77734375" defaultRowHeight="14.4"/>
  <cols>
    <col min="1" max="1" width="30" style="2" customWidth="1"/>
    <col min="2" max="15" width="13" style="2" customWidth="1"/>
    <col min="16" max="16384" width="8.77734375" style="2"/>
  </cols>
  <sheetData>
    <row r="1" spans="1:15" ht="18">
      <c r="A1" s="11" t="s">
        <v>72</v>
      </c>
      <c r="B1" s="11"/>
      <c r="C1" s="11"/>
      <c r="D1" s="11"/>
      <c r="E1" s="11"/>
      <c r="F1" s="11"/>
      <c r="G1" s="11"/>
      <c r="H1" s="11"/>
      <c r="I1" s="1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5" t="s">
        <v>44</v>
      </c>
      <c r="B3" s="16">
        <v>2023</v>
      </c>
      <c r="C3" s="16">
        <v>2024</v>
      </c>
      <c r="D3" s="16">
        <v>2025</v>
      </c>
      <c r="E3" s="16">
        <v>2026</v>
      </c>
      <c r="F3" s="16">
        <v>2027</v>
      </c>
      <c r="G3" s="16">
        <v>2028</v>
      </c>
      <c r="H3" s="16">
        <v>2029</v>
      </c>
      <c r="I3" s="16">
        <v>2030</v>
      </c>
      <c r="J3" s="1"/>
      <c r="K3" s="1"/>
      <c r="L3" s="1"/>
      <c r="M3" s="1"/>
      <c r="N3" s="1"/>
      <c r="O3" s="1"/>
    </row>
    <row r="4" spans="1:15">
      <c r="A4" s="1" t="s">
        <v>50</v>
      </c>
      <c r="B4" s="27">
        <f>'Historical Data'!B10</f>
        <v>18</v>
      </c>
      <c r="C4" s="27">
        <f>'Historical Data'!C10</f>
        <v>22</v>
      </c>
      <c r="D4" s="27">
        <f>'Historical Data'!D10</f>
        <v>28</v>
      </c>
      <c r="E4" s="27">
        <f>'Cash Flow'!E20</f>
        <v>62.590993150684952</v>
      </c>
      <c r="F4" s="27">
        <f>'Cash Flow'!F20</f>
        <v>113.77176301369867</v>
      </c>
      <c r="G4" s="27">
        <f>'Cash Flow'!G20</f>
        <v>177.45255506849318</v>
      </c>
      <c r="H4" s="27">
        <f>'Cash Flow'!H20</f>
        <v>251.57208516164386</v>
      </c>
      <c r="I4" s="27">
        <f>'Cash Flow'!I20</f>
        <v>337.22334547156169</v>
      </c>
      <c r="J4" s="1"/>
      <c r="K4" s="1"/>
      <c r="L4" s="1"/>
      <c r="M4" s="1"/>
      <c r="N4" s="1"/>
      <c r="O4" s="1"/>
    </row>
    <row r="5" spans="1:15">
      <c r="A5" s="1" t="s">
        <v>51</v>
      </c>
      <c r="B5" s="27">
        <f>'Historical Data'!B11</f>
        <v>30</v>
      </c>
      <c r="C5" s="27">
        <f>'Historical Data'!C11</f>
        <v>35</v>
      </c>
      <c r="D5" s="27">
        <f>'Historical Data'!D11</f>
        <v>42</v>
      </c>
      <c r="E5" s="27">
        <f>Schedules!E4</f>
        <v>46.849315068493198</v>
      </c>
      <c r="F5" s="27">
        <f>Schedules!F4</f>
        <v>50.722191780821902</v>
      </c>
      <c r="G5" s="27">
        <f>Schedules!G4</f>
        <v>53.870465753424703</v>
      </c>
      <c r="H5" s="27">
        <f>Schedules!H4</f>
        <v>57.670257534246602</v>
      </c>
      <c r="I5" s="27">
        <f>Schedules!I4</f>
        <v>61.151443989041098</v>
      </c>
      <c r="J5" s="1"/>
      <c r="K5" s="1"/>
      <c r="L5" s="1"/>
      <c r="M5" s="1"/>
      <c r="N5" s="1"/>
      <c r="O5" s="1"/>
    </row>
    <row r="6" spans="1:15">
      <c r="A6" s="1" t="s">
        <v>52</v>
      </c>
      <c r="B6" s="27">
        <f>'Historical Data'!B12</f>
        <v>8</v>
      </c>
      <c r="C6" s="27">
        <f>'Historical Data'!C12</f>
        <v>9</v>
      </c>
      <c r="D6" s="27">
        <f>'Historical Data'!D12</f>
        <v>10</v>
      </c>
      <c r="E6" s="27">
        <f>Schedules!E5</f>
        <v>11.4</v>
      </c>
      <c r="F6" s="27">
        <f>Schedules!F5</f>
        <v>12.768000000000001</v>
      </c>
      <c r="G6" s="27">
        <f>Schedules!G5</f>
        <v>14.0448</v>
      </c>
      <c r="H6" s="27">
        <f>Schedules!H5</f>
        <v>15.308832000000001</v>
      </c>
      <c r="I6" s="27">
        <f>Schedules!I5</f>
        <v>16.53353856</v>
      </c>
      <c r="J6" s="1"/>
      <c r="K6" s="1"/>
      <c r="L6" s="1"/>
      <c r="M6" s="1"/>
      <c r="N6" s="1"/>
      <c r="O6" s="1"/>
    </row>
    <row r="7" spans="1:15">
      <c r="A7" s="1" t="s">
        <v>53</v>
      </c>
      <c r="B7" s="27">
        <f>'Historical Data'!B13</f>
        <v>5</v>
      </c>
      <c r="C7" s="27">
        <f>'Historical Data'!C13</f>
        <v>6</v>
      </c>
      <c r="D7" s="27">
        <f>'Historical Data'!D13</f>
        <v>7</v>
      </c>
      <c r="E7" s="27">
        <f>Schedules!E6</f>
        <v>7.98</v>
      </c>
      <c r="F7" s="27">
        <f>Schedules!F6</f>
        <v>8.9375999999999998</v>
      </c>
      <c r="G7" s="27">
        <f>Schedules!G6</f>
        <v>9.8313600000000001</v>
      </c>
      <c r="H7" s="27">
        <f>Schedules!H6</f>
        <v>10.716182399999999</v>
      </c>
      <c r="I7" s="27">
        <f>Schedules!I6</f>
        <v>11.573476992</v>
      </c>
      <c r="J7" s="1"/>
      <c r="K7" s="1"/>
      <c r="L7" s="1"/>
      <c r="M7" s="1"/>
      <c r="N7" s="1"/>
      <c r="O7" s="1"/>
    </row>
    <row r="8" spans="1:15">
      <c r="A8" s="21" t="s">
        <v>73</v>
      </c>
      <c r="B8" s="26">
        <f t="shared" ref="B8:I8" si="0">SUM(B4:B7)</f>
        <v>61</v>
      </c>
      <c r="C8" s="26">
        <f t="shared" si="0"/>
        <v>72</v>
      </c>
      <c r="D8" s="26">
        <f t="shared" si="0"/>
        <v>87</v>
      </c>
      <c r="E8" s="26">
        <f t="shared" si="0"/>
        <v>128.82030821917814</v>
      </c>
      <c r="F8" s="26">
        <f t="shared" si="0"/>
        <v>186.19955479452057</v>
      </c>
      <c r="G8" s="26">
        <f t="shared" si="0"/>
        <v>255.19918082191788</v>
      </c>
      <c r="H8" s="26">
        <f t="shared" si="0"/>
        <v>335.26735709589042</v>
      </c>
      <c r="I8" s="26">
        <f t="shared" si="0"/>
        <v>426.48180501260276</v>
      </c>
      <c r="J8" s="1"/>
      <c r="K8" s="1"/>
      <c r="L8" s="1"/>
      <c r="M8" s="1"/>
      <c r="N8" s="1"/>
      <c r="O8" s="1"/>
    </row>
    <row r="9" spans="1:15">
      <c r="A9" s="1" t="s">
        <v>54</v>
      </c>
      <c r="B9" s="27">
        <f>'Historical Data'!B14</f>
        <v>45</v>
      </c>
      <c r="C9" s="27">
        <f>'Historical Data'!C14</f>
        <v>50</v>
      </c>
      <c r="D9" s="27">
        <f>'Historical Data'!D14</f>
        <v>57</v>
      </c>
      <c r="E9" s="27">
        <f>Schedules!E13</f>
        <v>64.125</v>
      </c>
      <c r="F9" s="27">
        <f>Schedules!F13</f>
        <v>70.509</v>
      </c>
      <c r="G9" s="27">
        <f>Schedules!G13</f>
        <v>75.775800000000004</v>
      </c>
      <c r="H9" s="27">
        <f>Schedules!H13</f>
        <v>79.603008000000003</v>
      </c>
      <c r="I9" s="27">
        <f>Schedules!I13</f>
        <v>83.736392640000005</v>
      </c>
      <c r="J9" s="1"/>
      <c r="K9" s="1"/>
      <c r="L9" s="1"/>
      <c r="M9" s="1"/>
      <c r="N9" s="1"/>
      <c r="O9" s="1"/>
    </row>
    <row r="10" spans="1:15">
      <c r="A10" s="1" t="s">
        <v>55</v>
      </c>
      <c r="B10" s="27">
        <f>'Historical Data'!B15</f>
        <v>9</v>
      </c>
      <c r="C10" s="27">
        <f>'Historical Data'!C15</f>
        <v>10</v>
      </c>
      <c r="D10" s="27">
        <f>'Historical Data'!D15</f>
        <v>11</v>
      </c>
      <c r="E10" s="27">
        <f>Schedules!E9</f>
        <v>12.824999999999999</v>
      </c>
      <c r="F10" s="27">
        <f>Schedules!F9</f>
        <v>14.364000000000001</v>
      </c>
      <c r="G10" s="27">
        <f>Schedules!G9</f>
        <v>15.8004</v>
      </c>
      <c r="H10" s="27">
        <f>Schedules!H9</f>
        <v>17.222435999999998</v>
      </c>
      <c r="I10" s="27">
        <f>Schedules!I9</f>
        <v>18.600230880000002</v>
      </c>
      <c r="J10" s="1"/>
      <c r="K10" s="1"/>
      <c r="L10" s="1"/>
      <c r="M10" s="1"/>
      <c r="N10" s="1"/>
      <c r="O10" s="1"/>
    </row>
    <row r="11" spans="1:15">
      <c r="A11" s="21" t="s">
        <v>74</v>
      </c>
      <c r="B11" s="26">
        <f t="shared" ref="B11:I11" si="1">SUM(B8:B10)</f>
        <v>115</v>
      </c>
      <c r="C11" s="26">
        <f t="shared" si="1"/>
        <v>132</v>
      </c>
      <c r="D11" s="26">
        <f t="shared" si="1"/>
        <v>155</v>
      </c>
      <c r="E11" s="26">
        <f t="shared" si="1"/>
        <v>205.77030821917813</v>
      </c>
      <c r="F11" s="26">
        <f t="shared" si="1"/>
        <v>271.07255479452056</v>
      </c>
      <c r="G11" s="26">
        <f t="shared" si="1"/>
        <v>346.77538082191791</v>
      </c>
      <c r="H11" s="26">
        <f t="shared" si="1"/>
        <v>432.09280109589042</v>
      </c>
      <c r="I11" s="26">
        <f t="shared" si="1"/>
        <v>528.81842853260275</v>
      </c>
      <c r="J11" s="1"/>
      <c r="K11" s="1"/>
      <c r="L11" s="1"/>
      <c r="M11" s="1"/>
      <c r="N11" s="1"/>
      <c r="O11" s="1"/>
    </row>
    <row r="12" spans="1:15">
      <c r="A12" s="1" t="s">
        <v>56</v>
      </c>
      <c r="B12" s="27">
        <f>'Historical Data'!B16</f>
        <v>18</v>
      </c>
      <c r="C12" s="27">
        <f>'Historical Data'!C16</f>
        <v>21</v>
      </c>
      <c r="D12" s="27">
        <f>'Historical Data'!D16</f>
        <v>25</v>
      </c>
      <c r="E12" s="27">
        <f>Schedules!E7</f>
        <v>21.667808219178099</v>
      </c>
      <c r="F12" s="27">
        <f>Schedules!F7</f>
        <v>23.612054794520599</v>
      </c>
      <c r="G12" s="27">
        <f>Schedules!G7</f>
        <v>25.251780821917801</v>
      </c>
      <c r="H12" s="27">
        <f>Schedules!H7</f>
        <v>27.524441095890399</v>
      </c>
      <c r="I12" s="27">
        <f>Schedules!I7</f>
        <v>28.877070772602799</v>
      </c>
      <c r="J12" s="1"/>
      <c r="K12" s="1"/>
      <c r="L12" s="1"/>
      <c r="M12" s="1"/>
      <c r="N12" s="1"/>
      <c r="O12" s="1"/>
    </row>
    <row r="13" spans="1:15">
      <c r="A13" s="1" t="s">
        <v>57</v>
      </c>
      <c r="B13" s="27">
        <f>'Historical Data'!B17</f>
        <v>12</v>
      </c>
      <c r="C13" s="27">
        <f>'Historical Data'!C17</f>
        <v>14</v>
      </c>
      <c r="D13" s="27">
        <f>'Historical Data'!D17</f>
        <v>16</v>
      </c>
      <c r="E13" s="27">
        <f>Schedules!E8</f>
        <v>18.524999999999999</v>
      </c>
      <c r="F13" s="27">
        <f>Schedules!F8</f>
        <v>20.748000000000001</v>
      </c>
      <c r="G13" s="27">
        <f>Schedules!G8</f>
        <v>22.822800000000001</v>
      </c>
      <c r="H13" s="27">
        <f>Schedules!H8</f>
        <v>24.876852</v>
      </c>
      <c r="I13" s="27">
        <f>Schedules!I8</f>
        <v>26.86700016</v>
      </c>
      <c r="J13" s="1"/>
      <c r="K13" s="1"/>
      <c r="L13" s="1"/>
      <c r="M13" s="1"/>
      <c r="N13" s="1"/>
      <c r="O13" s="1"/>
    </row>
    <row r="14" spans="1:15">
      <c r="A14" s="1" t="s">
        <v>30</v>
      </c>
      <c r="B14" s="27">
        <f>'Historical Data'!B18</f>
        <v>35</v>
      </c>
      <c r="C14" s="27">
        <f>'Historical Data'!C18</f>
        <v>38</v>
      </c>
      <c r="D14" s="27">
        <f>'Historical Data'!D18</f>
        <v>42</v>
      </c>
      <c r="E14" s="27">
        <f>Schedules!E14</f>
        <v>42</v>
      </c>
      <c r="F14" s="27">
        <f>Schedules!F14</f>
        <v>40</v>
      </c>
      <c r="G14" s="27">
        <f>Schedules!G14</f>
        <v>37</v>
      </c>
      <c r="H14" s="27">
        <f>Schedules!H14</f>
        <v>33</v>
      </c>
      <c r="I14" s="27">
        <f>Schedules!I14</f>
        <v>28</v>
      </c>
      <c r="J14" s="1"/>
      <c r="K14" s="1"/>
      <c r="L14" s="1"/>
      <c r="M14" s="1"/>
      <c r="N14" s="1"/>
      <c r="O14" s="1"/>
    </row>
    <row r="15" spans="1:15">
      <c r="A15" s="1" t="s">
        <v>58</v>
      </c>
      <c r="B15" s="27">
        <f>'Historical Data'!B19</f>
        <v>7</v>
      </c>
      <c r="C15" s="27">
        <f>'Historical Data'!C19</f>
        <v>8</v>
      </c>
      <c r="D15" s="27">
        <f>'Historical Data'!D19</f>
        <v>9</v>
      </c>
      <c r="E15" s="27">
        <f>Schedules!E10</f>
        <v>9.9749999999999996</v>
      </c>
      <c r="F15" s="27">
        <f>Schedules!F10</f>
        <v>11.172000000000001</v>
      </c>
      <c r="G15" s="27">
        <f>Schedules!G10</f>
        <v>12.289199999999999</v>
      </c>
      <c r="H15" s="27">
        <f>Schedules!H10</f>
        <v>13.395227999999999</v>
      </c>
      <c r="I15" s="27">
        <f>Schedules!I10</f>
        <v>14.466846240000001</v>
      </c>
      <c r="J15" s="1"/>
      <c r="K15" s="1"/>
      <c r="L15" s="1"/>
      <c r="M15" s="1"/>
      <c r="N15" s="1"/>
      <c r="O15" s="1"/>
    </row>
    <row r="16" spans="1:15">
      <c r="A16" s="21" t="s">
        <v>75</v>
      </c>
      <c r="B16" s="26">
        <f t="shared" ref="B16:I16" si="2">SUM(B12:B15)</f>
        <v>72</v>
      </c>
      <c r="C16" s="26">
        <f t="shared" si="2"/>
        <v>81</v>
      </c>
      <c r="D16" s="26">
        <f t="shared" si="2"/>
        <v>92</v>
      </c>
      <c r="E16" s="26">
        <f t="shared" si="2"/>
        <v>92.167808219178099</v>
      </c>
      <c r="F16" s="26">
        <f t="shared" si="2"/>
        <v>95.532054794520604</v>
      </c>
      <c r="G16" s="26">
        <f t="shared" si="2"/>
        <v>97.3637808219178</v>
      </c>
      <c r="H16" s="26">
        <f t="shared" si="2"/>
        <v>98.796521095890398</v>
      </c>
      <c r="I16" s="26">
        <f t="shared" si="2"/>
        <v>98.210917172602805</v>
      </c>
      <c r="J16" s="1"/>
      <c r="K16" s="1"/>
      <c r="L16" s="1"/>
      <c r="M16" s="1"/>
      <c r="N16" s="1"/>
      <c r="O16" s="1"/>
    </row>
    <row r="17" spans="1:15">
      <c r="A17" s="1" t="s">
        <v>59</v>
      </c>
      <c r="B17" s="27">
        <f>'Historical Data'!B20</f>
        <v>40</v>
      </c>
      <c r="C17" s="27">
        <f>'Historical Data'!C20</f>
        <v>40</v>
      </c>
      <c r="D17" s="27">
        <f>'Historical Data'!D20</f>
        <v>40</v>
      </c>
      <c r="E17" s="27">
        <f>D17</f>
        <v>40</v>
      </c>
      <c r="F17" s="27">
        <f>E17</f>
        <v>40</v>
      </c>
      <c r="G17" s="27">
        <f>F17</f>
        <v>40</v>
      </c>
      <c r="H17" s="27">
        <f>G17</f>
        <v>40</v>
      </c>
      <c r="I17" s="27">
        <f>H17</f>
        <v>40</v>
      </c>
      <c r="J17" s="1"/>
      <c r="K17" s="1"/>
      <c r="L17" s="1"/>
      <c r="M17" s="1"/>
      <c r="N17" s="1"/>
      <c r="O17" s="1"/>
    </row>
    <row r="18" spans="1:15">
      <c r="A18" s="1" t="s">
        <v>60</v>
      </c>
      <c r="B18" s="27">
        <f>'Historical Data'!B21</f>
        <v>3</v>
      </c>
      <c r="C18" s="27">
        <f>'Historical Data'!C21</f>
        <v>11</v>
      </c>
      <c r="D18" s="27">
        <f>'Historical Data'!D21</f>
        <v>23</v>
      </c>
      <c r="E18" s="27">
        <f>D18+'Income Statement'!E14+'Cash Flow'!E23</f>
        <v>73.602499999999992</v>
      </c>
      <c r="F18" s="27">
        <f>E18+'Income Statement'!F14+'Cash Flow'!F23</f>
        <v>135.54050000000001</v>
      </c>
      <c r="G18" s="27">
        <f>F18+'Income Statement'!G14+'Cash Flow'!G23</f>
        <v>209.41160000000002</v>
      </c>
      <c r="H18" s="27">
        <f>G18+'Income Statement'!H14+'Cash Flow'!H23</f>
        <v>293.29628000000002</v>
      </c>
      <c r="I18" s="27">
        <f>H18+'Income Statement'!I14+'Cash Flow'!I23</f>
        <v>390.60751135999999</v>
      </c>
      <c r="J18" s="1"/>
      <c r="K18" s="1"/>
      <c r="L18" s="1"/>
      <c r="M18" s="1"/>
      <c r="N18" s="1"/>
      <c r="O18" s="1"/>
    </row>
    <row r="19" spans="1:15">
      <c r="A19" s="21" t="s">
        <v>76</v>
      </c>
      <c r="B19" s="26">
        <f t="shared" ref="B19:I19" si="3">SUM(B17:B18)</f>
        <v>43</v>
      </c>
      <c r="C19" s="26">
        <f t="shared" si="3"/>
        <v>51</v>
      </c>
      <c r="D19" s="26">
        <f t="shared" si="3"/>
        <v>63</v>
      </c>
      <c r="E19" s="26">
        <f t="shared" si="3"/>
        <v>113.60249999999999</v>
      </c>
      <c r="F19" s="26">
        <f t="shared" si="3"/>
        <v>175.54050000000001</v>
      </c>
      <c r="G19" s="26">
        <f t="shared" si="3"/>
        <v>249.41160000000002</v>
      </c>
      <c r="H19" s="26">
        <f t="shared" si="3"/>
        <v>333.29628000000002</v>
      </c>
      <c r="I19" s="26">
        <f t="shared" si="3"/>
        <v>430.60751135999999</v>
      </c>
      <c r="J19" s="1"/>
      <c r="K19" s="1"/>
      <c r="L19" s="1"/>
      <c r="M19" s="1"/>
      <c r="N19" s="1"/>
      <c r="O19" s="1"/>
    </row>
    <row r="20" spans="1:15">
      <c r="A20" s="21" t="s">
        <v>77</v>
      </c>
      <c r="B20" s="26">
        <f t="shared" ref="B20:I20" si="4">SUM(B16,B19)</f>
        <v>115</v>
      </c>
      <c r="C20" s="26">
        <f t="shared" si="4"/>
        <v>132</v>
      </c>
      <c r="D20" s="26">
        <f t="shared" si="4"/>
        <v>155</v>
      </c>
      <c r="E20" s="26">
        <f t="shared" si="4"/>
        <v>205.7703082191781</v>
      </c>
      <c r="F20" s="26">
        <f t="shared" si="4"/>
        <v>271.07255479452061</v>
      </c>
      <c r="G20" s="26">
        <f t="shared" si="4"/>
        <v>346.77538082191779</v>
      </c>
      <c r="H20" s="26">
        <f t="shared" si="4"/>
        <v>432.09280109589042</v>
      </c>
      <c r="I20" s="26">
        <f t="shared" si="4"/>
        <v>528.81842853260275</v>
      </c>
      <c r="J20" s="1"/>
      <c r="K20" s="1"/>
      <c r="L20" s="1"/>
      <c r="M20" s="1"/>
      <c r="N20" s="1"/>
      <c r="O20" s="1"/>
    </row>
    <row r="21" spans="1:15">
      <c r="A21" s="21" t="s">
        <v>78</v>
      </c>
      <c r="B21" s="22">
        <f t="shared" ref="B21:I21" si="5">B11-B20</f>
        <v>0</v>
      </c>
      <c r="C21" s="22">
        <f t="shared" si="5"/>
        <v>0</v>
      </c>
      <c r="D21" s="22">
        <f t="shared" si="5"/>
        <v>0</v>
      </c>
      <c r="E21" s="23">
        <f t="shared" si="5"/>
        <v>0</v>
      </c>
      <c r="F21" s="23">
        <f t="shared" si="5"/>
        <v>0</v>
      </c>
      <c r="G21" s="23">
        <f t="shared" si="5"/>
        <v>0</v>
      </c>
      <c r="H21" s="23">
        <f t="shared" si="5"/>
        <v>0</v>
      </c>
      <c r="I21" s="23">
        <f t="shared" si="5"/>
        <v>0</v>
      </c>
      <c r="J21" s="1"/>
      <c r="K21" s="1"/>
      <c r="L21" s="1"/>
      <c r="M21" s="1"/>
      <c r="N21" s="1"/>
      <c r="O21" s="1"/>
    </row>
    <row r="22" spans="1:15">
      <c r="A22" s="1"/>
      <c r="B22" s="17"/>
      <c r="C22" s="17"/>
      <c r="D22" s="17"/>
      <c r="E22" s="20"/>
      <c r="F22" s="20"/>
      <c r="G22" s="20"/>
      <c r="H22" s="20"/>
      <c r="I22" s="20"/>
      <c r="J22" s="1"/>
      <c r="K22" s="1"/>
      <c r="L22" s="1"/>
      <c r="M22" s="1"/>
      <c r="N22" s="1"/>
      <c r="O22" s="1"/>
    </row>
    <row r="23" spans="1:15">
      <c r="A23" s="1"/>
      <c r="B23" s="17"/>
      <c r="C23" s="17"/>
      <c r="D23" s="17"/>
      <c r="E23" s="20"/>
      <c r="F23" s="20"/>
      <c r="G23" s="20"/>
      <c r="H23" s="20"/>
      <c r="I23" s="20"/>
      <c r="J23" s="1"/>
      <c r="K23" s="1"/>
      <c r="L23" s="1"/>
      <c r="M23" s="1"/>
      <c r="N23" s="1"/>
      <c r="O23" s="1"/>
    </row>
    <row r="24" spans="1:15">
      <c r="A24" s="1"/>
      <c r="B24" s="17"/>
      <c r="C24" s="17"/>
      <c r="D24" s="17"/>
      <c r="E24" s="20"/>
      <c r="F24" s="20"/>
      <c r="G24" s="20"/>
      <c r="H24" s="20"/>
      <c r="I24" s="20"/>
      <c r="J24" s="1"/>
      <c r="K24" s="1"/>
      <c r="L24" s="1"/>
      <c r="M24" s="1"/>
      <c r="N24" s="1"/>
      <c r="O24" s="1"/>
    </row>
    <row r="25" spans="1:15">
      <c r="A25" s="1"/>
      <c r="B25" s="17"/>
      <c r="C25" s="17"/>
      <c r="D25" s="17"/>
      <c r="E25" s="20"/>
      <c r="F25" s="20"/>
      <c r="G25" s="20"/>
      <c r="H25" s="20"/>
      <c r="I25" s="20"/>
      <c r="J25" s="1"/>
      <c r="K25" s="1"/>
      <c r="L25" s="1"/>
      <c r="M25" s="1"/>
      <c r="N25" s="1"/>
      <c r="O25" s="1"/>
    </row>
    <row r="26" spans="1:15">
      <c r="A26" s="1"/>
      <c r="B26" s="17"/>
      <c r="C26" s="17"/>
      <c r="D26" s="17"/>
      <c r="E26" s="20"/>
      <c r="F26" s="20"/>
      <c r="G26" s="20"/>
      <c r="H26" s="20"/>
      <c r="I26" s="20"/>
      <c r="J26" s="1"/>
      <c r="K26" s="1"/>
      <c r="L26" s="1"/>
      <c r="M26" s="1"/>
      <c r="N26" s="1"/>
      <c r="O26" s="1"/>
    </row>
    <row r="27" spans="1:15">
      <c r="A27" s="1"/>
      <c r="B27" s="17"/>
      <c r="C27" s="17"/>
      <c r="D27" s="17"/>
      <c r="E27" s="20"/>
      <c r="F27" s="20"/>
      <c r="G27" s="20"/>
      <c r="H27" s="20"/>
      <c r="I27" s="20"/>
      <c r="J27" s="1"/>
      <c r="K27" s="1"/>
      <c r="L27" s="1"/>
      <c r="M27" s="1"/>
      <c r="N27" s="1"/>
      <c r="O27" s="1"/>
    </row>
    <row r="28" spans="1:15">
      <c r="A28" s="1"/>
      <c r="B28" s="17"/>
      <c r="C28" s="17"/>
      <c r="D28" s="17"/>
      <c r="E28" s="20"/>
      <c r="F28" s="20"/>
      <c r="G28" s="20"/>
      <c r="H28" s="20"/>
      <c r="I28" s="20"/>
      <c r="J28" s="1"/>
      <c r="K28" s="1"/>
      <c r="L28" s="1"/>
      <c r="M28" s="1"/>
      <c r="N28" s="1"/>
      <c r="O28" s="1"/>
    </row>
    <row r="29" spans="1:15">
      <c r="A29" s="1"/>
      <c r="B29" s="17"/>
      <c r="C29" s="17"/>
      <c r="D29" s="17"/>
      <c r="E29" s="20"/>
      <c r="F29" s="20"/>
      <c r="G29" s="20"/>
      <c r="H29" s="20"/>
      <c r="I29" s="20"/>
      <c r="J29" s="1"/>
      <c r="K29" s="1"/>
      <c r="L29" s="1"/>
      <c r="M29" s="1"/>
      <c r="N29" s="1"/>
      <c r="O29" s="1"/>
    </row>
    <row r="30" spans="1:15">
      <c r="A30" s="1"/>
      <c r="B30" s="17"/>
      <c r="C30" s="17"/>
      <c r="D30" s="17"/>
      <c r="E30" s="20"/>
      <c r="F30" s="20"/>
      <c r="G30" s="20"/>
      <c r="H30" s="20"/>
      <c r="I30" s="20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0"/>
  <sheetViews>
    <sheetView workbookViewId="0">
      <selection sqref="A1:I1"/>
    </sheetView>
  </sheetViews>
  <sheetFormatPr defaultColWidth="8.77734375" defaultRowHeight="14.4"/>
  <cols>
    <col min="1" max="1" width="30" style="38" customWidth="1"/>
    <col min="2" max="15" width="13" style="38" customWidth="1"/>
    <col min="16" max="16384" width="8.77734375" style="38"/>
  </cols>
  <sheetData>
    <row r="1" spans="1:15" ht="18">
      <c r="A1" s="36" t="s">
        <v>79</v>
      </c>
      <c r="B1" s="36"/>
      <c r="C1" s="36"/>
      <c r="D1" s="36"/>
      <c r="E1" s="36"/>
      <c r="F1" s="36"/>
      <c r="G1" s="36"/>
      <c r="H1" s="36"/>
      <c r="I1" s="36"/>
      <c r="J1" s="37"/>
      <c r="K1" s="37"/>
      <c r="L1" s="37"/>
      <c r="M1" s="37"/>
      <c r="N1" s="37"/>
      <c r="O1" s="37"/>
    </row>
    <row r="2" spans="1:1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1:15">
      <c r="A3" s="39" t="s">
        <v>44</v>
      </c>
      <c r="B3" s="50">
        <v>2023</v>
      </c>
      <c r="C3" s="50">
        <v>2024</v>
      </c>
      <c r="D3" s="50">
        <v>2025</v>
      </c>
      <c r="E3" s="50">
        <v>2026</v>
      </c>
      <c r="F3" s="50">
        <v>2027</v>
      </c>
      <c r="G3" s="50">
        <v>2028</v>
      </c>
      <c r="H3" s="50">
        <v>2029</v>
      </c>
      <c r="I3" s="50">
        <v>2030</v>
      </c>
      <c r="J3" s="37"/>
      <c r="K3" s="37"/>
      <c r="L3" s="37"/>
      <c r="M3" s="37"/>
      <c r="N3" s="37"/>
      <c r="O3" s="37"/>
    </row>
    <row r="4" spans="1:15">
      <c r="A4" s="37" t="s">
        <v>71</v>
      </c>
      <c r="B4" s="33">
        <f>'Income Statement'!B14</f>
        <v>20.25</v>
      </c>
      <c r="C4" s="33">
        <f>'Income Statement'!C14</f>
        <v>28.5</v>
      </c>
      <c r="D4" s="33">
        <f>'Income Statement'!D14</f>
        <v>39.75</v>
      </c>
      <c r="E4" s="33">
        <f>'Income Statement'!E14</f>
        <v>50.602499999999999</v>
      </c>
      <c r="F4" s="33">
        <f>'Income Statement'!F14</f>
        <v>61.938000000000017</v>
      </c>
      <c r="G4" s="33">
        <f>'Income Statement'!G14</f>
        <v>73.871100000000013</v>
      </c>
      <c r="H4" s="33">
        <f>'Income Statement'!H14</f>
        <v>83.884680000000003</v>
      </c>
      <c r="I4" s="33">
        <f>'Income Statement'!I14</f>
        <v>97.311231359999994</v>
      </c>
      <c r="J4" s="37"/>
      <c r="K4" s="37"/>
      <c r="L4" s="37"/>
      <c r="M4" s="37"/>
      <c r="N4" s="37"/>
      <c r="O4" s="37"/>
    </row>
    <row r="5" spans="1:15">
      <c r="A5" s="37" t="s">
        <v>48</v>
      </c>
      <c r="B5" s="33">
        <f>-Schedules!B12</f>
        <v>8</v>
      </c>
      <c r="C5" s="33">
        <f>-Schedules!C12</f>
        <v>9</v>
      </c>
      <c r="D5" s="33">
        <f>-Schedules!D12</f>
        <v>10</v>
      </c>
      <c r="E5" s="33">
        <f>-Schedules!E12</f>
        <v>11.4</v>
      </c>
      <c r="F5" s="33">
        <f>-Schedules!F12</f>
        <v>12.768000000000001</v>
      </c>
      <c r="G5" s="33">
        <f>-Schedules!G12</f>
        <v>14.0448</v>
      </c>
      <c r="H5" s="33">
        <f>-Schedules!H12</f>
        <v>15.308832000000001</v>
      </c>
      <c r="I5" s="33">
        <f>-Schedules!I12</f>
        <v>16.53353856</v>
      </c>
      <c r="J5" s="37"/>
      <c r="K5" s="37"/>
      <c r="L5" s="37"/>
      <c r="M5" s="37"/>
      <c r="N5" s="37"/>
      <c r="O5" s="37"/>
    </row>
    <row r="6" spans="1:15">
      <c r="A6" s="37" t="s">
        <v>80</v>
      </c>
      <c r="B6" s="33" t="s">
        <v>64</v>
      </c>
      <c r="C6" s="33">
        <f>-(Schedules!C4-Schedules!B4)</f>
        <v>-5</v>
      </c>
      <c r="D6" s="33">
        <f>-(Schedules!D4-Schedules!C4)</f>
        <v>-7</v>
      </c>
      <c r="E6" s="33">
        <f>-(Schedules!E4-Schedules!D4)</f>
        <v>-4.8493150684931496</v>
      </c>
      <c r="F6" s="33">
        <f>-(Schedules!F4-Schedules!E4)</f>
        <v>-3.8728767123287802</v>
      </c>
      <c r="G6" s="33">
        <f>-(Schedules!G4-Schedules!F4)</f>
        <v>-3.14827397260275</v>
      </c>
      <c r="H6" s="33">
        <f>-(Schedules!H4-Schedules!G4)</f>
        <v>-3.7997917808219102</v>
      </c>
      <c r="I6" s="33">
        <f>-(Schedules!I4-Schedules!H4)</f>
        <v>-3.4811864547945301</v>
      </c>
      <c r="J6" s="37"/>
      <c r="K6" s="37"/>
      <c r="L6" s="37"/>
      <c r="M6" s="37"/>
      <c r="N6" s="37"/>
      <c r="O6" s="37"/>
    </row>
    <row r="7" spans="1:15">
      <c r="A7" s="37" t="s">
        <v>81</v>
      </c>
      <c r="B7" s="33" t="s">
        <v>64</v>
      </c>
      <c r="C7" s="33">
        <f>-(Schedules!C5-Schedules!B5)</f>
        <v>-1</v>
      </c>
      <c r="D7" s="33">
        <f>-(Schedules!D5-Schedules!C5)</f>
        <v>-1</v>
      </c>
      <c r="E7" s="33">
        <f>-(Schedules!E5-Schedules!D5)</f>
        <v>-1.4</v>
      </c>
      <c r="F7" s="33">
        <f>-(Schedules!F5-Schedules!E5)</f>
        <v>-1.3680000000000001</v>
      </c>
      <c r="G7" s="33">
        <f>-(Schedules!G5-Schedules!F5)</f>
        <v>-1.2767999999999999</v>
      </c>
      <c r="H7" s="33">
        <f>-(Schedules!H5-Schedules!G5)</f>
        <v>-1.264032</v>
      </c>
      <c r="I7" s="33">
        <f>-(Schedules!I5-Schedules!H5)</f>
        <v>-1.22470656</v>
      </c>
      <c r="J7" s="37"/>
      <c r="K7" s="37"/>
      <c r="L7" s="37"/>
      <c r="M7" s="37"/>
      <c r="N7" s="37"/>
      <c r="O7" s="37"/>
    </row>
    <row r="8" spans="1:15">
      <c r="A8" s="37" t="s">
        <v>82</v>
      </c>
      <c r="B8" s="33" t="s">
        <v>64</v>
      </c>
      <c r="C8" s="33">
        <f>-(Schedules!C6-Schedules!B6)</f>
        <v>-1</v>
      </c>
      <c r="D8" s="33">
        <f>-(Schedules!D6-Schedules!C6)</f>
        <v>-1</v>
      </c>
      <c r="E8" s="33">
        <f>-(Schedules!E6-Schedules!D6)</f>
        <v>-0.98000000000000098</v>
      </c>
      <c r="F8" s="33">
        <f>-(Schedules!F6-Schedules!E6)</f>
        <v>-0.95760000000000201</v>
      </c>
      <c r="G8" s="33">
        <f>-(Schedules!G6-Schedules!F6)</f>
        <v>-0.89376</v>
      </c>
      <c r="H8" s="33">
        <f>-(Schedules!H6-Schedules!G6)</f>
        <v>-0.88482240000000101</v>
      </c>
      <c r="I8" s="33">
        <f>-(Schedules!I6-Schedules!H6)</f>
        <v>-0.85729459200000202</v>
      </c>
      <c r="J8" s="37"/>
      <c r="K8" s="37"/>
      <c r="L8" s="37"/>
      <c r="M8" s="37"/>
      <c r="N8" s="37"/>
      <c r="O8" s="37"/>
    </row>
    <row r="9" spans="1:15">
      <c r="A9" s="37" t="s">
        <v>83</v>
      </c>
      <c r="B9" s="33" t="s">
        <v>64</v>
      </c>
      <c r="C9" s="33">
        <f>(Schedules!C7-Schedules!B7)</f>
        <v>3</v>
      </c>
      <c r="D9" s="33">
        <f>(Schedules!D7-Schedules!C7)</f>
        <v>4</v>
      </c>
      <c r="E9" s="33">
        <f>Schedules!E7-Schedules!D7</f>
        <v>-3.3321917808219101</v>
      </c>
      <c r="F9" s="33">
        <f>Schedules!F7-Schedules!E7</f>
        <v>1.94424657534247</v>
      </c>
      <c r="G9" s="33">
        <f>Schedules!G7-Schedules!F7</f>
        <v>1.63972602739726</v>
      </c>
      <c r="H9" s="33">
        <f>Schedules!H7-Schedules!G7</f>
        <v>2.2726602739726101</v>
      </c>
      <c r="I9" s="33">
        <f>Schedules!I7-Schedules!H7</f>
        <v>1.35262967671234</v>
      </c>
      <c r="J9" s="37"/>
      <c r="K9" s="37"/>
      <c r="L9" s="37"/>
      <c r="M9" s="37"/>
      <c r="N9" s="37"/>
      <c r="O9" s="37"/>
    </row>
    <row r="10" spans="1:15">
      <c r="A10" s="37" t="s">
        <v>84</v>
      </c>
      <c r="B10" s="33" t="s">
        <v>64</v>
      </c>
      <c r="C10" s="33">
        <f>(Schedules!C8-Schedules!B8)</f>
        <v>2</v>
      </c>
      <c r="D10" s="33">
        <f>(Schedules!D8-Schedules!C8)</f>
        <v>2</v>
      </c>
      <c r="E10" s="33">
        <f>Schedules!E8-Schedules!D8</f>
        <v>2.5250000000000101</v>
      </c>
      <c r="F10" s="33">
        <f>Schedules!F8-Schedules!E8</f>
        <v>2.2229999999999999</v>
      </c>
      <c r="G10" s="33">
        <f>Schedules!G8-Schedules!F8</f>
        <v>2.0748000000000002</v>
      </c>
      <c r="H10" s="33">
        <f>Schedules!H8-Schedules!G8</f>
        <v>2.054052</v>
      </c>
      <c r="I10" s="33">
        <f>Schedules!I8-Schedules!H8</f>
        <v>1.9901481599999999</v>
      </c>
      <c r="J10" s="37"/>
      <c r="K10" s="37"/>
      <c r="L10" s="37"/>
      <c r="M10" s="37"/>
      <c r="N10" s="37"/>
      <c r="O10" s="37"/>
    </row>
    <row r="11" spans="1:15">
      <c r="A11" s="37" t="s">
        <v>85</v>
      </c>
      <c r="B11" s="33" t="s">
        <v>64</v>
      </c>
      <c r="C11" s="33">
        <f>-(Schedules!C9-Schedules!B9)</f>
        <v>-1</v>
      </c>
      <c r="D11" s="33">
        <f>-(Schedules!D9-Schedules!C9)</f>
        <v>-1</v>
      </c>
      <c r="E11" s="33">
        <f>-(Schedules!E9-Schedules!D9)</f>
        <v>-1.825</v>
      </c>
      <c r="F11" s="33">
        <f>-(Schedules!F9-Schedules!E9)</f>
        <v>-1.5389999999999999</v>
      </c>
      <c r="G11" s="33">
        <f>-(Schedules!G9-Schedules!F9)</f>
        <v>-1.4363999999999999</v>
      </c>
      <c r="H11" s="33">
        <f>-(Schedules!H9-Schedules!G9)</f>
        <v>-1.4220360000000001</v>
      </c>
      <c r="I11" s="33">
        <f>-(Schedules!I9-Schedules!H9)</f>
        <v>-1.3777948799999999</v>
      </c>
      <c r="J11" s="37"/>
      <c r="K11" s="37"/>
      <c r="L11" s="37"/>
      <c r="M11" s="37"/>
      <c r="N11" s="37"/>
      <c r="O11" s="37"/>
    </row>
    <row r="12" spans="1:15">
      <c r="A12" s="37" t="s">
        <v>86</v>
      </c>
      <c r="B12" s="33" t="s">
        <v>64</v>
      </c>
      <c r="C12" s="33">
        <f>(Schedules!C10-Schedules!B10)</f>
        <v>1</v>
      </c>
      <c r="D12" s="33">
        <f>(Schedules!D10-Schedules!C10)</f>
        <v>1</v>
      </c>
      <c r="E12" s="33">
        <f>Schedules!E10-Schedules!D10</f>
        <v>0.97500000000000298</v>
      </c>
      <c r="F12" s="33">
        <f>Schedules!F10-Schedules!E10</f>
        <v>1.1970000000000001</v>
      </c>
      <c r="G12" s="33">
        <f>Schedules!G10-Schedules!F10</f>
        <v>1.1172</v>
      </c>
      <c r="H12" s="33">
        <f>Schedules!H10-Schedules!G10</f>
        <v>1.106028</v>
      </c>
      <c r="I12" s="33">
        <f>Schedules!I10-Schedules!H10</f>
        <v>1.0716182400000001</v>
      </c>
      <c r="J12" s="37"/>
      <c r="K12" s="37"/>
      <c r="L12" s="37"/>
      <c r="M12" s="37"/>
      <c r="N12" s="37"/>
      <c r="O12" s="37"/>
    </row>
    <row r="13" spans="1:15">
      <c r="A13" s="40" t="s">
        <v>87</v>
      </c>
      <c r="B13" s="40" t="s">
        <v>64</v>
      </c>
      <c r="C13" s="40">
        <f>SUM(C4:C12)</f>
        <v>35.5</v>
      </c>
      <c r="D13" s="40">
        <f t="shared" ref="C13:I13" si="0">SUM(D4:D12)</f>
        <v>46.75</v>
      </c>
      <c r="E13" s="40">
        <f t="shared" si="0"/>
        <v>53.11599315068495</v>
      </c>
      <c r="F13" s="40">
        <f t="shared" si="0"/>
        <v>72.332769863013723</v>
      </c>
      <c r="G13" s="40">
        <f t="shared" si="0"/>
        <v>85.992392054794507</v>
      </c>
      <c r="H13" s="40">
        <f t="shared" si="0"/>
        <v>97.255570093150681</v>
      </c>
      <c r="I13" s="40">
        <f t="shared" si="0"/>
        <v>111.31818350991782</v>
      </c>
      <c r="J13" s="37"/>
      <c r="K13" s="37"/>
      <c r="L13" s="37"/>
      <c r="M13" s="37"/>
      <c r="N13" s="37"/>
      <c r="O13" s="37"/>
    </row>
    <row r="14" spans="1:15">
      <c r="A14" s="37" t="s">
        <v>61</v>
      </c>
      <c r="B14" s="41">
        <f>Schedules!B11</f>
        <v>-12</v>
      </c>
      <c r="C14" s="41">
        <f>Schedules!C11</f>
        <v>-14</v>
      </c>
      <c r="D14" s="41">
        <f>Schedules!D11</f>
        <v>-17</v>
      </c>
      <c r="E14" s="41">
        <f>Schedules!E11</f>
        <v>-18.524999999999999</v>
      </c>
      <c r="F14" s="41">
        <f>Schedules!F11</f>
        <v>-19.152000000000001</v>
      </c>
      <c r="G14" s="41">
        <f>Schedules!G11</f>
        <v>-19.311599999999999</v>
      </c>
      <c r="H14" s="41">
        <f>Schedules!H11</f>
        <v>-19.136040000000001</v>
      </c>
      <c r="I14" s="41">
        <f>Schedules!I11</f>
        <v>-20.666923199999999</v>
      </c>
      <c r="J14" s="37"/>
      <c r="K14" s="37"/>
      <c r="L14" s="37"/>
      <c r="M14" s="37"/>
      <c r="N14" s="37"/>
      <c r="O14" s="37"/>
    </row>
    <row r="15" spans="1:15">
      <c r="A15" s="40" t="s">
        <v>88</v>
      </c>
      <c r="B15" s="42">
        <f>B14</f>
        <v>-12</v>
      </c>
      <c r="C15" s="42">
        <f t="shared" ref="B15:I15" si="1">C14</f>
        <v>-14</v>
      </c>
      <c r="D15" s="42">
        <f t="shared" si="1"/>
        <v>-17</v>
      </c>
      <c r="E15" s="42">
        <f t="shared" si="1"/>
        <v>-18.524999999999999</v>
      </c>
      <c r="F15" s="42">
        <f t="shared" si="1"/>
        <v>-19.152000000000001</v>
      </c>
      <c r="G15" s="42">
        <f t="shared" si="1"/>
        <v>-19.311599999999999</v>
      </c>
      <c r="H15" s="42">
        <f t="shared" si="1"/>
        <v>-19.136040000000001</v>
      </c>
      <c r="I15" s="42">
        <f t="shared" si="1"/>
        <v>-20.666923199999999</v>
      </c>
      <c r="J15" s="37"/>
      <c r="K15" s="37"/>
      <c r="L15" s="37"/>
      <c r="M15" s="37"/>
      <c r="N15" s="37"/>
      <c r="O15" s="37"/>
    </row>
    <row r="16" spans="1:15">
      <c r="A16" s="37" t="s">
        <v>89</v>
      </c>
      <c r="B16" s="43" t="s">
        <v>64</v>
      </c>
      <c r="C16" s="41">
        <f>Schedules!C14-Schedules!B14</f>
        <v>3</v>
      </c>
      <c r="D16" s="41">
        <f>Schedules!D14-Schedules!C14</f>
        <v>4</v>
      </c>
      <c r="E16" s="41">
        <f>Schedules!E14-Schedules!D14</f>
        <v>0</v>
      </c>
      <c r="F16" s="41">
        <f>Schedules!F14-Schedules!E14</f>
        <v>-2</v>
      </c>
      <c r="G16" s="41">
        <f>Schedules!G14-Schedules!F14</f>
        <v>-3</v>
      </c>
      <c r="H16" s="41">
        <f>Schedules!H14-Schedules!G14</f>
        <v>-4</v>
      </c>
      <c r="I16" s="41">
        <f>Schedules!I14-Schedules!H14</f>
        <v>-5</v>
      </c>
      <c r="J16" s="37"/>
      <c r="K16" s="37"/>
      <c r="L16" s="37"/>
      <c r="M16" s="37"/>
      <c r="N16" s="37"/>
      <c r="O16" s="37"/>
    </row>
    <row r="17" spans="1:15">
      <c r="A17" s="40" t="s">
        <v>90</v>
      </c>
      <c r="B17" s="44" t="s">
        <v>64</v>
      </c>
      <c r="C17" s="42">
        <f t="shared" ref="C17:I17" si="2">SUM(C16,C23)</f>
        <v>-17.5</v>
      </c>
      <c r="D17" s="42">
        <f t="shared" si="2"/>
        <v>-23.75</v>
      </c>
      <c r="E17" s="42">
        <f t="shared" si="2"/>
        <v>0</v>
      </c>
      <c r="F17" s="42">
        <f>SUM(F16,F23)</f>
        <v>-2</v>
      </c>
      <c r="G17" s="42">
        <f t="shared" si="2"/>
        <v>-3</v>
      </c>
      <c r="H17" s="42">
        <f t="shared" si="2"/>
        <v>-4</v>
      </c>
      <c r="I17" s="42">
        <f t="shared" si="2"/>
        <v>-5</v>
      </c>
      <c r="J17" s="37"/>
      <c r="K17" s="37"/>
      <c r="L17" s="37"/>
      <c r="M17" s="37"/>
      <c r="N17" s="37"/>
      <c r="O17" s="37"/>
    </row>
    <row r="18" spans="1:15">
      <c r="A18" s="40" t="s">
        <v>91</v>
      </c>
      <c r="B18" s="40" t="s">
        <v>64</v>
      </c>
      <c r="C18" s="45">
        <f t="shared" ref="C18:I18" si="3">SUM(C13,C15,C17)</f>
        <v>4</v>
      </c>
      <c r="D18" s="45">
        <f t="shared" si="3"/>
        <v>6</v>
      </c>
      <c r="E18" s="45">
        <f t="shared" si="3"/>
        <v>34.590993150684952</v>
      </c>
      <c r="F18" s="45">
        <f t="shared" si="3"/>
        <v>51.180769863013722</v>
      </c>
      <c r="G18" s="45">
        <f t="shared" si="3"/>
        <v>63.680792054794509</v>
      </c>
      <c r="H18" s="45">
        <f t="shared" si="3"/>
        <v>74.119530093150672</v>
      </c>
      <c r="I18" s="45">
        <f t="shared" si="3"/>
        <v>85.651260309917816</v>
      </c>
      <c r="J18" s="37"/>
      <c r="K18" s="37"/>
      <c r="L18" s="37"/>
      <c r="M18" s="37"/>
      <c r="N18" s="37"/>
      <c r="O18" s="37"/>
    </row>
    <row r="19" spans="1:15">
      <c r="A19" s="37" t="s">
        <v>92</v>
      </c>
      <c r="B19" s="37" t="s">
        <v>64</v>
      </c>
      <c r="C19" s="33">
        <f>'Balance Sheet'!B4</f>
        <v>18</v>
      </c>
      <c r="D19" s="33">
        <f>'Balance Sheet'!C4</f>
        <v>22</v>
      </c>
      <c r="E19" s="33">
        <f>D20</f>
        <v>28</v>
      </c>
      <c r="F19" s="33">
        <f>E20</f>
        <v>62.590993150684952</v>
      </c>
      <c r="G19" s="33">
        <f>F20</f>
        <v>113.77176301369867</v>
      </c>
      <c r="H19" s="33">
        <f>G20</f>
        <v>177.45255506849318</v>
      </c>
      <c r="I19" s="33">
        <f>H20</f>
        <v>251.57208516164386</v>
      </c>
      <c r="J19" s="37"/>
      <c r="K19" s="37"/>
      <c r="L19" s="37"/>
      <c r="M19" s="37"/>
      <c r="N19" s="37"/>
      <c r="O19" s="37"/>
    </row>
    <row r="20" spans="1:15">
      <c r="A20" s="40" t="s">
        <v>93</v>
      </c>
      <c r="B20" s="46">
        <v>18</v>
      </c>
      <c r="C20" s="40">
        <f t="shared" ref="C20:J20" si="4">SUM(C18:C19)</f>
        <v>22</v>
      </c>
      <c r="D20" s="40">
        <f t="shared" si="4"/>
        <v>28</v>
      </c>
      <c r="E20" s="40">
        <f t="shared" si="4"/>
        <v>62.590993150684952</v>
      </c>
      <c r="F20" s="40">
        <f t="shared" si="4"/>
        <v>113.77176301369867</v>
      </c>
      <c r="G20" s="40">
        <f t="shared" si="4"/>
        <v>177.45255506849318</v>
      </c>
      <c r="H20" s="40">
        <f t="shared" si="4"/>
        <v>251.57208516164386</v>
      </c>
      <c r="I20" s="40">
        <f t="shared" si="4"/>
        <v>337.22334547156169</v>
      </c>
      <c r="J20" s="40"/>
      <c r="K20" s="37"/>
      <c r="L20" s="37"/>
      <c r="M20" s="37"/>
      <c r="N20" s="37"/>
      <c r="O20" s="37"/>
    </row>
    <row r="21" spans="1:15">
      <c r="A21" s="37"/>
      <c r="B21" s="37"/>
      <c r="C21" s="37"/>
      <c r="D21" s="37"/>
      <c r="E21" s="47"/>
      <c r="F21" s="47"/>
      <c r="G21" s="47"/>
      <c r="H21" s="47"/>
      <c r="I21" s="47"/>
      <c r="J21" s="37"/>
      <c r="K21" s="37"/>
      <c r="L21" s="37"/>
      <c r="M21" s="37"/>
      <c r="N21" s="37"/>
      <c r="O21" s="37"/>
    </row>
    <row r="22" spans="1:15">
      <c r="A22" s="37"/>
      <c r="B22" s="37"/>
      <c r="C22" s="37"/>
      <c r="D22" s="37"/>
      <c r="E22" s="47"/>
      <c r="F22" s="47"/>
      <c r="G22" s="47"/>
      <c r="H22" s="47"/>
      <c r="I22" s="47"/>
      <c r="J22" s="37"/>
      <c r="K22" s="37"/>
      <c r="L22" s="37"/>
      <c r="M22" s="37"/>
      <c r="N22" s="37"/>
      <c r="O22" s="37"/>
    </row>
    <row r="23" spans="1:15">
      <c r="A23" s="37" t="s">
        <v>94</v>
      </c>
      <c r="B23" s="37" t="s">
        <v>95</v>
      </c>
      <c r="C23" s="33">
        <f>'Balance Sheet'!C18-'Balance Sheet'!B18-'Income Statement'!C14</f>
        <v>-20.5</v>
      </c>
      <c r="D23" s="33">
        <f>'Balance Sheet'!D18-'Balance Sheet'!C18-'Income Statement'!D14</f>
        <v>-27.75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7"/>
      <c r="K23" s="37"/>
      <c r="L23" s="37"/>
      <c r="M23" s="37"/>
      <c r="N23" s="37"/>
      <c r="O23" s="37"/>
    </row>
    <row r="24" spans="1:15">
      <c r="A24" s="37" t="s">
        <v>96</v>
      </c>
      <c r="B24" s="37" t="s">
        <v>95</v>
      </c>
      <c r="C24" s="33">
        <f>C20-'Balance Sheet'!C4</f>
        <v>0</v>
      </c>
      <c r="D24" s="33">
        <f>D20-'Balance Sheet'!D4</f>
        <v>0</v>
      </c>
      <c r="E24" s="33">
        <f>E20-'Balance Sheet'!E4</f>
        <v>0</v>
      </c>
      <c r="F24" s="33">
        <f>F20-'Balance Sheet'!F4</f>
        <v>0</v>
      </c>
      <c r="G24" s="33">
        <f>G20-'Balance Sheet'!G4</f>
        <v>0</v>
      </c>
      <c r="H24" s="33">
        <f>H20-'Balance Sheet'!H4</f>
        <v>0</v>
      </c>
      <c r="I24" s="33">
        <f>I20-'Balance Sheet'!I4</f>
        <v>0</v>
      </c>
      <c r="J24" s="37"/>
      <c r="K24" s="37"/>
      <c r="L24" s="37"/>
      <c r="M24" s="37"/>
      <c r="N24" s="37"/>
      <c r="O24" s="37"/>
    </row>
    <row r="25" spans="1:15">
      <c r="A25" s="37"/>
      <c r="B25" s="37"/>
      <c r="C25" s="37"/>
      <c r="D25" s="37"/>
      <c r="E25" s="47"/>
      <c r="F25" s="47"/>
      <c r="G25" s="47"/>
      <c r="H25" s="47"/>
      <c r="I25" s="47"/>
      <c r="J25" s="37"/>
      <c r="K25" s="37"/>
      <c r="L25" s="37"/>
      <c r="M25" s="37"/>
      <c r="N25" s="37"/>
      <c r="O25" s="37"/>
    </row>
    <row r="26" spans="1:15">
      <c r="A26" s="48" t="s">
        <v>97</v>
      </c>
      <c r="B26" s="48"/>
      <c r="C26" s="48"/>
      <c r="D26" s="48"/>
      <c r="E26" s="49"/>
      <c r="F26" s="49"/>
      <c r="G26" s="49"/>
      <c r="H26" s="49"/>
      <c r="I26" s="49"/>
      <c r="J26" s="37"/>
      <c r="K26" s="37"/>
      <c r="L26" s="37"/>
      <c r="M26" s="37"/>
      <c r="N26" s="37"/>
      <c r="O26" s="37"/>
    </row>
    <row r="27" spans="1:15">
      <c r="A27" s="48" t="s">
        <v>98</v>
      </c>
      <c r="B27" s="48"/>
      <c r="C27" s="48"/>
      <c r="D27" s="48"/>
      <c r="E27" s="49"/>
      <c r="F27" s="49"/>
      <c r="G27" s="49"/>
      <c r="H27" s="49"/>
      <c r="I27" s="49"/>
      <c r="J27" s="37"/>
      <c r="K27" s="37"/>
      <c r="L27" s="37"/>
      <c r="M27" s="37"/>
      <c r="N27" s="37"/>
      <c r="O27" s="37"/>
    </row>
    <row r="28" spans="1:15">
      <c r="A28" s="37"/>
      <c r="B28" s="37"/>
      <c r="C28" s="37"/>
      <c r="D28" s="37"/>
      <c r="E28" s="47"/>
      <c r="F28" s="47"/>
      <c r="G28" s="47"/>
      <c r="H28" s="47"/>
      <c r="I28" s="47"/>
      <c r="J28" s="37"/>
      <c r="K28" s="37"/>
      <c r="L28" s="37"/>
      <c r="M28" s="37"/>
      <c r="N28" s="37"/>
      <c r="O28" s="37"/>
    </row>
    <row r="29" spans="1:15">
      <c r="A29" s="37"/>
      <c r="B29" s="37"/>
      <c r="C29" s="37"/>
      <c r="D29" s="37"/>
      <c r="E29" s="47"/>
      <c r="F29" s="47"/>
      <c r="G29" s="47"/>
      <c r="H29" s="47"/>
      <c r="I29" s="47"/>
      <c r="J29" s="37"/>
      <c r="K29" s="37"/>
      <c r="L29" s="37"/>
      <c r="M29" s="37"/>
      <c r="N29" s="37"/>
      <c r="O29" s="37"/>
    </row>
    <row r="30" spans="1:15">
      <c r="A30" s="37"/>
      <c r="B30" s="37"/>
      <c r="C30" s="37"/>
      <c r="D30" s="37"/>
      <c r="E30" s="47"/>
      <c r="F30" s="47"/>
      <c r="G30" s="47"/>
      <c r="H30" s="47"/>
      <c r="I30" s="47"/>
      <c r="J30" s="37"/>
      <c r="K30" s="37"/>
      <c r="L30" s="37"/>
      <c r="M30" s="37"/>
      <c r="N30" s="37"/>
      <c r="O30" s="37"/>
    </row>
    <row r="31" spans="1:1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</row>
    <row r="32" spans="1:1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</row>
    <row r="33" spans="1:1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spans="1:1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</row>
    <row r="35" spans="1:1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</row>
    <row r="36" spans="1:1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</row>
    <row r="37" spans="1:1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1:1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spans="1:1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</row>
    <row r="40" spans="1:1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</row>
  </sheetData>
  <mergeCells count="3">
    <mergeCell ref="A1:I1"/>
    <mergeCell ref="A26:I26"/>
    <mergeCell ref="A27:I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0"/>
  <sheetViews>
    <sheetView workbookViewId="0">
      <selection sqref="A1:I1"/>
    </sheetView>
  </sheetViews>
  <sheetFormatPr defaultColWidth="8.77734375" defaultRowHeight="14.4"/>
  <cols>
    <col min="1" max="1" width="30" style="2" customWidth="1"/>
    <col min="2" max="15" width="13" style="2" customWidth="1"/>
    <col min="16" max="16384" width="8.77734375" style="2"/>
  </cols>
  <sheetData>
    <row r="1" spans="1:15" ht="18">
      <c r="A1" s="11" t="s">
        <v>99</v>
      </c>
      <c r="B1" s="11"/>
      <c r="C1" s="11"/>
      <c r="D1" s="11"/>
      <c r="E1" s="11"/>
      <c r="F1" s="11"/>
      <c r="G1" s="11"/>
      <c r="H1" s="11"/>
      <c r="I1" s="11"/>
      <c r="J1" s="1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5" t="s">
        <v>44</v>
      </c>
      <c r="B3" s="16">
        <v>2023</v>
      </c>
      <c r="C3" s="16">
        <v>2024</v>
      </c>
      <c r="D3" s="16">
        <v>2025</v>
      </c>
      <c r="E3" s="16">
        <v>2026</v>
      </c>
      <c r="F3" s="16">
        <v>2027</v>
      </c>
      <c r="G3" s="16">
        <v>2028</v>
      </c>
      <c r="H3" s="16">
        <v>2029</v>
      </c>
      <c r="I3" s="16">
        <v>2030</v>
      </c>
      <c r="J3" s="1"/>
      <c r="K3" s="1"/>
      <c r="L3" s="1"/>
      <c r="M3" s="1"/>
      <c r="N3" s="1"/>
      <c r="O3" s="1"/>
    </row>
    <row r="4" spans="1:15">
      <c r="A4" s="1" t="s">
        <v>51</v>
      </c>
      <c r="B4" s="33">
        <f>'Historical Data'!B11</f>
        <v>30</v>
      </c>
      <c r="C4" s="33">
        <f>'Historical Data'!C11</f>
        <v>35</v>
      </c>
      <c r="D4" s="33">
        <f>'Historical Data'!D11</f>
        <v>42</v>
      </c>
      <c r="E4" s="33">
        <f>'Income Statement'!E4/365*Assumptions!B9</f>
        <v>46.849315068493198</v>
      </c>
      <c r="F4" s="33">
        <f>'Income Statement'!F4/365*Assumptions!C9</f>
        <v>50.722191780821902</v>
      </c>
      <c r="G4" s="33">
        <f>'Income Statement'!G4/365*Assumptions!D9</f>
        <v>53.870465753424703</v>
      </c>
      <c r="H4" s="33">
        <f>'Income Statement'!H4/365*Assumptions!E9</f>
        <v>57.670257534246602</v>
      </c>
      <c r="I4" s="33">
        <f>'Income Statement'!I4/365*Assumptions!F9</f>
        <v>61.151443989041098</v>
      </c>
      <c r="J4" s="1"/>
      <c r="K4" s="1"/>
      <c r="L4" s="1"/>
      <c r="M4" s="1"/>
      <c r="N4" s="1"/>
      <c r="O4" s="1"/>
    </row>
    <row r="5" spans="1:15">
      <c r="A5" s="1" t="s">
        <v>52</v>
      </c>
      <c r="B5" s="33">
        <f>'Historical Data'!B12</f>
        <v>8</v>
      </c>
      <c r="C5" s="33">
        <f>'Historical Data'!C12</f>
        <v>9</v>
      </c>
      <c r="D5" s="33">
        <f>'Historical Data'!D12</f>
        <v>10</v>
      </c>
      <c r="E5" s="33">
        <f>'Income Statement'!E4*Assumptions!B10</f>
        <v>11.4</v>
      </c>
      <c r="F5" s="33">
        <f>'Income Statement'!F4*Assumptions!C10</f>
        <v>12.768000000000001</v>
      </c>
      <c r="G5" s="33">
        <f>'Income Statement'!G4*Assumptions!D10</f>
        <v>14.0448</v>
      </c>
      <c r="H5" s="33">
        <f>'Income Statement'!H4*Assumptions!E10</f>
        <v>15.308832000000001</v>
      </c>
      <c r="I5" s="33">
        <f>'Income Statement'!I4*Assumptions!F10</f>
        <v>16.53353856</v>
      </c>
      <c r="J5" s="1"/>
      <c r="K5" s="1"/>
      <c r="L5" s="1"/>
      <c r="M5" s="1"/>
      <c r="N5" s="1"/>
      <c r="O5" s="1"/>
    </row>
    <row r="6" spans="1:15">
      <c r="A6" s="1" t="s">
        <v>53</v>
      </c>
      <c r="B6" s="33">
        <f>'Historical Data'!B13</f>
        <v>5</v>
      </c>
      <c r="C6" s="33">
        <f>'Historical Data'!C13</f>
        <v>6</v>
      </c>
      <c r="D6" s="33">
        <f>'Historical Data'!D13</f>
        <v>7</v>
      </c>
      <c r="E6" s="33">
        <f>'Income Statement'!E4*Assumptions!B13</f>
        <v>7.98</v>
      </c>
      <c r="F6" s="33">
        <f>'Income Statement'!F4*Assumptions!C13</f>
        <v>8.9375999999999998</v>
      </c>
      <c r="G6" s="33">
        <f>'Income Statement'!G4*Assumptions!D13</f>
        <v>9.8313600000000001</v>
      </c>
      <c r="H6" s="33">
        <f>'Income Statement'!H4*Assumptions!E13</f>
        <v>10.716182399999999</v>
      </c>
      <c r="I6" s="33">
        <f>'Income Statement'!I4*Assumptions!F13</f>
        <v>11.573476992</v>
      </c>
      <c r="J6" s="1"/>
      <c r="K6" s="1"/>
      <c r="L6" s="1"/>
      <c r="M6" s="1"/>
      <c r="N6" s="1"/>
      <c r="O6" s="1"/>
    </row>
    <row r="7" spans="1:15">
      <c r="A7" s="1" t="s">
        <v>56</v>
      </c>
      <c r="B7" s="33">
        <f>'Historical Data'!B16</f>
        <v>18</v>
      </c>
      <c r="C7" s="33">
        <f>'Historical Data'!C16</f>
        <v>21</v>
      </c>
      <c r="D7" s="33">
        <f>'Historical Data'!D16</f>
        <v>25</v>
      </c>
      <c r="E7" s="33">
        <f>-'Income Statement'!E5/365*Assumptions!B11</f>
        <v>21.667808219178099</v>
      </c>
      <c r="F7" s="33">
        <f>-'Income Statement'!F5/365*Assumptions!C11</f>
        <v>23.612054794520599</v>
      </c>
      <c r="G7" s="33">
        <f>-'Income Statement'!G5/365*Assumptions!D11</f>
        <v>25.251780821917801</v>
      </c>
      <c r="H7" s="33">
        <f>-'Income Statement'!H5/365*Assumptions!E11</f>
        <v>27.524441095890399</v>
      </c>
      <c r="I7" s="33">
        <f>-'Income Statement'!I5/365*Assumptions!F11</f>
        <v>28.877070772602799</v>
      </c>
      <c r="J7" s="1"/>
      <c r="K7" s="1"/>
      <c r="L7" s="1"/>
      <c r="M7" s="1"/>
      <c r="N7" s="1"/>
      <c r="O7" s="1"/>
    </row>
    <row r="8" spans="1:15">
      <c r="A8" s="1" t="s">
        <v>57</v>
      </c>
      <c r="B8" s="33">
        <f>'Historical Data'!B17</f>
        <v>12</v>
      </c>
      <c r="C8" s="33">
        <f>'Historical Data'!C17</f>
        <v>14</v>
      </c>
      <c r="D8" s="33">
        <f>'Historical Data'!D17</f>
        <v>16</v>
      </c>
      <c r="E8" s="33">
        <f>'Income Statement'!E4*Assumptions!B12</f>
        <v>18.524999999999999</v>
      </c>
      <c r="F8" s="33">
        <f>'Income Statement'!F4*Assumptions!C12</f>
        <v>20.748000000000001</v>
      </c>
      <c r="G8" s="33">
        <f>'Income Statement'!G4*Assumptions!D12</f>
        <v>22.822800000000001</v>
      </c>
      <c r="H8" s="33">
        <f>'Income Statement'!H4*Assumptions!E12</f>
        <v>24.876852</v>
      </c>
      <c r="I8" s="33">
        <f>'Income Statement'!I4*Assumptions!F12</f>
        <v>26.86700016</v>
      </c>
      <c r="J8" s="1"/>
      <c r="K8" s="1"/>
      <c r="L8" s="1"/>
      <c r="M8" s="1"/>
      <c r="N8" s="1"/>
      <c r="O8" s="1"/>
    </row>
    <row r="9" spans="1:15">
      <c r="A9" s="1" t="s">
        <v>55</v>
      </c>
      <c r="B9" s="33">
        <f>'Historical Data'!B15</f>
        <v>9</v>
      </c>
      <c r="C9" s="33">
        <f>'Historical Data'!C15</f>
        <v>10</v>
      </c>
      <c r="D9" s="33">
        <f>'Historical Data'!D15</f>
        <v>11</v>
      </c>
      <c r="E9" s="33">
        <f>'Income Statement'!E4*Assumptions!B14</f>
        <v>12.824999999999999</v>
      </c>
      <c r="F9" s="33">
        <f>'Income Statement'!F4*Assumptions!C14</f>
        <v>14.364000000000001</v>
      </c>
      <c r="G9" s="33">
        <f>'Income Statement'!G4*Assumptions!D14</f>
        <v>15.8004</v>
      </c>
      <c r="H9" s="33">
        <f>'Income Statement'!H4*Assumptions!E14</f>
        <v>17.222435999999998</v>
      </c>
      <c r="I9" s="33">
        <f>'Income Statement'!I4*Assumptions!F14</f>
        <v>18.600230880000002</v>
      </c>
      <c r="J9" s="1"/>
      <c r="K9" s="1"/>
      <c r="L9" s="1"/>
      <c r="M9" s="1"/>
      <c r="N9" s="1"/>
      <c r="O9" s="1"/>
    </row>
    <row r="10" spans="1:15">
      <c r="A10" s="1" t="s">
        <v>58</v>
      </c>
      <c r="B10" s="33">
        <f>'Historical Data'!B19</f>
        <v>7</v>
      </c>
      <c r="C10" s="33">
        <f>'Historical Data'!C19</f>
        <v>8</v>
      </c>
      <c r="D10" s="33">
        <f>'Historical Data'!D19</f>
        <v>9</v>
      </c>
      <c r="E10" s="33">
        <f>'Income Statement'!E4*Assumptions!B15</f>
        <v>9.9749999999999996</v>
      </c>
      <c r="F10" s="33">
        <f>'Income Statement'!F4*Assumptions!C15</f>
        <v>11.172000000000001</v>
      </c>
      <c r="G10" s="33">
        <f>'Income Statement'!G4*Assumptions!D15</f>
        <v>12.289199999999999</v>
      </c>
      <c r="H10" s="33">
        <f>'Income Statement'!H4*Assumptions!E15</f>
        <v>13.395227999999999</v>
      </c>
      <c r="I10" s="33">
        <f>'Income Statement'!I4*Assumptions!F15</f>
        <v>14.466846240000001</v>
      </c>
      <c r="J10" s="1"/>
      <c r="K10" s="1"/>
      <c r="L10" s="1"/>
      <c r="M10" s="1"/>
      <c r="N10" s="1"/>
      <c r="O10" s="1"/>
    </row>
    <row r="11" spans="1:15">
      <c r="A11" s="1" t="s">
        <v>61</v>
      </c>
      <c r="B11" s="33">
        <f>'Historical Data'!B22</f>
        <v>-12</v>
      </c>
      <c r="C11" s="33">
        <f>'Historical Data'!C22</f>
        <v>-14</v>
      </c>
      <c r="D11" s="33">
        <f>'Historical Data'!D22</f>
        <v>-17</v>
      </c>
      <c r="E11" s="33">
        <f>-'Income Statement'!E4*Assumptions!B16</f>
        <v>-18.524999999999999</v>
      </c>
      <c r="F11" s="33">
        <f>-'Income Statement'!F4*Assumptions!C16</f>
        <v>-19.152000000000001</v>
      </c>
      <c r="G11" s="33">
        <f>-'Income Statement'!G4*Assumptions!D16</f>
        <v>-19.311599999999999</v>
      </c>
      <c r="H11" s="33">
        <f>-'Income Statement'!H4*Assumptions!E16</f>
        <v>-19.136040000000001</v>
      </c>
      <c r="I11" s="33">
        <f>-'Income Statement'!I4*Assumptions!F16</f>
        <v>-20.666923199999999</v>
      </c>
      <c r="J11" s="1"/>
      <c r="K11" s="1"/>
      <c r="L11" s="1"/>
      <c r="M11" s="1"/>
      <c r="N11" s="1"/>
      <c r="O11" s="1"/>
    </row>
    <row r="12" spans="1:15">
      <c r="A12" s="1" t="s">
        <v>48</v>
      </c>
      <c r="B12" s="33">
        <f>'Historical Data'!B7</f>
        <v>-8</v>
      </c>
      <c r="C12" s="33">
        <f>'Historical Data'!C7</f>
        <v>-9</v>
      </c>
      <c r="D12" s="33">
        <f>'Historical Data'!D7</f>
        <v>-10</v>
      </c>
      <c r="E12" s="33">
        <f>'Income Statement'!E9</f>
        <v>-11.4</v>
      </c>
      <c r="F12" s="33">
        <f>'Income Statement'!F9</f>
        <v>-12.768000000000001</v>
      </c>
      <c r="G12" s="33">
        <f>'Income Statement'!G9</f>
        <v>-14.0448</v>
      </c>
      <c r="H12" s="33">
        <f>'Income Statement'!H9</f>
        <v>-15.308832000000001</v>
      </c>
      <c r="I12" s="33">
        <f>'Income Statement'!I9</f>
        <v>-16.53353856</v>
      </c>
      <c r="J12" s="1"/>
      <c r="K12" s="1"/>
      <c r="L12" s="1"/>
      <c r="M12" s="1"/>
      <c r="N12" s="1"/>
      <c r="O12" s="1"/>
    </row>
    <row r="13" spans="1:15">
      <c r="A13" s="1" t="s">
        <v>54</v>
      </c>
      <c r="B13" s="33">
        <f>'Historical Data'!B14</f>
        <v>45</v>
      </c>
      <c r="C13" s="33">
        <f>'Historical Data'!C14</f>
        <v>50</v>
      </c>
      <c r="D13" s="33">
        <f>'Historical Data'!D14</f>
        <v>57</v>
      </c>
      <c r="E13" s="33">
        <f>D13-E11+E12</f>
        <v>64.125</v>
      </c>
      <c r="F13" s="33">
        <f>E13-F11+F12</f>
        <v>70.509</v>
      </c>
      <c r="G13" s="33">
        <f>F13-G11+G12</f>
        <v>75.775800000000004</v>
      </c>
      <c r="H13" s="33">
        <f>G13-H11+H12</f>
        <v>79.603008000000003</v>
      </c>
      <c r="I13" s="33">
        <f>H13-I11+I12</f>
        <v>83.736392640000005</v>
      </c>
      <c r="J13" s="1"/>
      <c r="K13" s="1"/>
      <c r="L13" s="1"/>
      <c r="M13" s="1"/>
      <c r="N13" s="1"/>
      <c r="O13" s="1"/>
    </row>
    <row r="14" spans="1:15">
      <c r="A14" s="1" t="s">
        <v>30</v>
      </c>
      <c r="B14" s="33">
        <f>'Historical Data'!B18</f>
        <v>35</v>
      </c>
      <c r="C14" s="33">
        <f>'Historical Data'!C18</f>
        <v>38</v>
      </c>
      <c r="D14" s="33">
        <f>'Historical Data'!D18</f>
        <v>42</v>
      </c>
      <c r="E14" s="33">
        <f>Assumptions!B17</f>
        <v>42</v>
      </c>
      <c r="F14" s="33">
        <f>Assumptions!C17</f>
        <v>40</v>
      </c>
      <c r="G14" s="33">
        <f>Assumptions!D17</f>
        <v>37</v>
      </c>
      <c r="H14" s="33">
        <f>Assumptions!E17</f>
        <v>33</v>
      </c>
      <c r="I14" s="33">
        <f>Assumptions!F17</f>
        <v>28</v>
      </c>
      <c r="J14" s="1"/>
      <c r="K14" s="1"/>
      <c r="L14" s="1"/>
      <c r="M14" s="1"/>
      <c r="N14" s="1"/>
      <c r="O14" s="1"/>
    </row>
    <row r="15" spans="1:15">
      <c r="A15" s="1" t="s">
        <v>49</v>
      </c>
      <c r="B15" s="33">
        <f>'Historical Data'!B8</f>
        <v>-3</v>
      </c>
      <c r="C15" s="33">
        <f>'Historical Data'!C8</f>
        <v>-3</v>
      </c>
      <c r="D15" s="33">
        <f>'Historical Data'!D8</f>
        <v>-4</v>
      </c>
      <c r="E15" s="33">
        <f>'Income Statement'!E11</f>
        <v>-3.78</v>
      </c>
      <c r="F15" s="33">
        <f>'Income Statement'!F11</f>
        <v>-3.6</v>
      </c>
      <c r="G15" s="33">
        <f>'Income Statement'!G11</f>
        <v>-3.33</v>
      </c>
      <c r="H15" s="33">
        <f>'Income Statement'!H11</f>
        <v>-2.97</v>
      </c>
      <c r="I15" s="33">
        <f>'Income Statement'!I11</f>
        <v>-2.52</v>
      </c>
      <c r="J15" s="1"/>
      <c r="K15" s="1"/>
      <c r="L15" s="1"/>
      <c r="M15" s="1"/>
      <c r="N15" s="1"/>
      <c r="O15" s="1"/>
    </row>
    <row r="16" spans="1:15">
      <c r="A16" s="1"/>
      <c r="B16" s="17"/>
      <c r="C16" s="17"/>
      <c r="D16" s="17"/>
      <c r="E16" s="20"/>
      <c r="F16" s="20"/>
      <c r="G16" s="20"/>
      <c r="H16" s="20"/>
      <c r="I16" s="20"/>
      <c r="J16" s="1"/>
      <c r="K16" s="1"/>
      <c r="L16" s="1"/>
      <c r="M16" s="1"/>
      <c r="N16" s="1"/>
      <c r="O16" s="1"/>
    </row>
    <row r="17" spans="1:15">
      <c r="A17" s="1"/>
      <c r="B17" s="17"/>
      <c r="C17" s="17"/>
      <c r="D17" s="17"/>
      <c r="E17" s="20"/>
      <c r="F17" s="20"/>
      <c r="G17" s="20"/>
      <c r="H17" s="20"/>
      <c r="I17" s="20"/>
      <c r="J17" s="1"/>
      <c r="K17" s="1"/>
      <c r="L17" s="1"/>
      <c r="M17" s="1"/>
      <c r="N17" s="1"/>
      <c r="O17" s="1"/>
    </row>
    <row r="18" spans="1:15">
      <c r="A18" s="1"/>
      <c r="B18" s="17"/>
      <c r="C18" s="17"/>
      <c r="D18" s="17"/>
      <c r="E18" s="20"/>
      <c r="F18" s="20"/>
      <c r="G18" s="20"/>
      <c r="H18" s="20"/>
      <c r="I18" s="20"/>
      <c r="J18" s="1"/>
      <c r="K18" s="1"/>
      <c r="L18" s="1"/>
      <c r="M18" s="1"/>
      <c r="N18" s="1"/>
      <c r="O18" s="1"/>
    </row>
    <row r="19" spans="1:15">
      <c r="A19" s="1"/>
      <c r="B19" s="17"/>
      <c r="C19" s="17"/>
      <c r="D19" s="17"/>
      <c r="E19" s="20"/>
      <c r="F19" s="20"/>
      <c r="G19" s="20"/>
      <c r="H19" s="20"/>
      <c r="I19" s="20"/>
      <c r="J19" s="1"/>
      <c r="K19" s="1"/>
      <c r="L19" s="1"/>
      <c r="M19" s="1"/>
      <c r="N19" s="1"/>
      <c r="O19" s="1"/>
    </row>
    <row r="20" spans="1:15">
      <c r="A20" s="1"/>
      <c r="B20" s="17"/>
      <c r="C20" s="17"/>
      <c r="D20" s="17"/>
      <c r="E20" s="20"/>
      <c r="F20" s="20"/>
      <c r="G20" s="20"/>
      <c r="H20" s="20"/>
      <c r="I20" s="20"/>
      <c r="J20" s="1"/>
      <c r="K20" s="1"/>
      <c r="L20" s="1"/>
      <c r="M20" s="1"/>
      <c r="N20" s="1"/>
      <c r="O20" s="1"/>
    </row>
    <row r="21" spans="1:15">
      <c r="A21" s="1"/>
      <c r="B21" s="17"/>
      <c r="C21" s="17"/>
      <c r="D21" s="17"/>
      <c r="E21" s="20"/>
      <c r="F21" s="20"/>
      <c r="G21" s="20"/>
      <c r="H21" s="20"/>
      <c r="I21" s="20"/>
      <c r="J21" s="1"/>
      <c r="K21" s="1"/>
      <c r="L21" s="1"/>
      <c r="M21" s="1"/>
      <c r="N21" s="1"/>
      <c r="O21" s="1"/>
    </row>
    <row r="22" spans="1:15">
      <c r="A22" s="1"/>
      <c r="B22" s="17"/>
      <c r="C22" s="17"/>
      <c r="D22" s="17"/>
      <c r="E22" s="20"/>
      <c r="F22" s="20"/>
      <c r="G22" s="20"/>
      <c r="H22" s="20"/>
      <c r="I22" s="20"/>
      <c r="J22" s="1"/>
      <c r="K22" s="1"/>
      <c r="L22" s="1"/>
      <c r="M22" s="1"/>
      <c r="N22" s="1"/>
      <c r="O22" s="1"/>
    </row>
    <row r="23" spans="1:15">
      <c r="A23" s="1"/>
      <c r="B23" s="17"/>
      <c r="C23" s="17"/>
      <c r="D23" s="17"/>
      <c r="E23" s="20"/>
      <c r="F23" s="20"/>
      <c r="G23" s="20"/>
      <c r="H23" s="20"/>
      <c r="I23" s="20"/>
      <c r="J23" s="1"/>
      <c r="K23" s="1"/>
      <c r="L23" s="1"/>
      <c r="M23" s="1"/>
      <c r="N23" s="1"/>
      <c r="O23" s="1"/>
    </row>
    <row r="24" spans="1:15">
      <c r="A24" s="1"/>
      <c r="B24" s="17"/>
      <c r="C24" s="17"/>
      <c r="D24" s="17"/>
      <c r="E24" s="20"/>
      <c r="F24" s="20"/>
      <c r="G24" s="20"/>
      <c r="H24" s="20"/>
      <c r="I24" s="20"/>
      <c r="J24" s="1"/>
      <c r="K24" s="1"/>
      <c r="L24" s="1"/>
      <c r="M24" s="1"/>
      <c r="N24" s="1"/>
      <c r="O24" s="1"/>
    </row>
    <row r="25" spans="1:15">
      <c r="A25" s="1"/>
      <c r="B25" s="17"/>
      <c r="C25" s="17"/>
      <c r="D25" s="17"/>
      <c r="E25" s="20"/>
      <c r="F25" s="20"/>
      <c r="G25" s="20"/>
      <c r="H25" s="20"/>
      <c r="I25" s="20"/>
      <c r="J25" s="1"/>
      <c r="K25" s="1"/>
      <c r="L25" s="1"/>
      <c r="M25" s="1"/>
      <c r="N25" s="1"/>
      <c r="O25" s="1"/>
    </row>
    <row r="26" spans="1:15">
      <c r="A26" s="1"/>
      <c r="B26" s="17"/>
      <c r="C26" s="17"/>
      <c r="D26" s="17"/>
      <c r="E26" s="20"/>
      <c r="F26" s="20"/>
      <c r="G26" s="20"/>
      <c r="H26" s="20"/>
      <c r="I26" s="20"/>
      <c r="J26" s="1"/>
      <c r="K26" s="1"/>
      <c r="L26" s="1"/>
      <c r="M26" s="1"/>
      <c r="N26" s="1"/>
      <c r="O26" s="1"/>
    </row>
    <row r="27" spans="1:15">
      <c r="A27" s="1"/>
      <c r="B27" s="17"/>
      <c r="C27" s="17"/>
      <c r="D27" s="17"/>
      <c r="E27" s="20"/>
      <c r="F27" s="20"/>
      <c r="G27" s="20"/>
      <c r="H27" s="20"/>
      <c r="I27" s="20"/>
      <c r="J27" s="1"/>
      <c r="K27" s="1"/>
      <c r="L27" s="1"/>
      <c r="M27" s="1"/>
      <c r="N27" s="1"/>
      <c r="O27" s="1"/>
    </row>
    <row r="28" spans="1:15">
      <c r="A28" s="1"/>
      <c r="B28" s="17"/>
      <c r="C28" s="17"/>
      <c r="D28" s="17"/>
      <c r="E28" s="20"/>
      <c r="F28" s="20"/>
      <c r="G28" s="20"/>
      <c r="H28" s="20"/>
      <c r="I28" s="20"/>
      <c r="J28" s="1"/>
      <c r="K28" s="1"/>
      <c r="L28" s="1"/>
      <c r="M28" s="1"/>
      <c r="N28" s="1"/>
      <c r="O28" s="1"/>
    </row>
    <row r="29" spans="1:15">
      <c r="A29" s="1"/>
      <c r="B29" s="17"/>
      <c r="C29" s="17"/>
      <c r="D29" s="17"/>
      <c r="E29" s="20"/>
      <c r="F29" s="20"/>
      <c r="G29" s="20"/>
      <c r="H29" s="20"/>
      <c r="I29" s="20"/>
      <c r="J29" s="1"/>
      <c r="K29" s="1"/>
      <c r="L29" s="1"/>
      <c r="M29" s="1"/>
      <c r="N29" s="1"/>
      <c r="O29" s="1"/>
    </row>
    <row r="30" spans="1:15">
      <c r="A30" s="1"/>
      <c r="B30" s="17"/>
      <c r="C30" s="17"/>
      <c r="D30" s="17"/>
      <c r="E30" s="20"/>
      <c r="F30" s="20"/>
      <c r="G30" s="20"/>
      <c r="H30" s="20"/>
      <c r="I30" s="20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"/>
  <sheetViews>
    <sheetView workbookViewId="0">
      <selection sqref="A1:G1"/>
    </sheetView>
  </sheetViews>
  <sheetFormatPr defaultColWidth="8.77734375" defaultRowHeight="14.4"/>
  <cols>
    <col min="1" max="1" width="30" style="2" customWidth="1"/>
    <col min="2" max="14" width="13" style="2" customWidth="1"/>
    <col min="15" max="16384" width="8.77734375" style="2"/>
  </cols>
  <sheetData>
    <row r="1" spans="1:14" ht="18">
      <c r="A1" s="11" t="s">
        <v>100</v>
      </c>
      <c r="B1" s="11"/>
      <c r="C1" s="11"/>
      <c r="D1" s="11"/>
      <c r="E1" s="11"/>
      <c r="F1" s="11"/>
      <c r="G1" s="11"/>
      <c r="H1" s="12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8" t="s">
        <v>44</v>
      </c>
      <c r="B3" s="8">
        <v>2026</v>
      </c>
      <c r="C3" s="8">
        <v>2027</v>
      </c>
      <c r="D3" s="8">
        <v>2028</v>
      </c>
      <c r="E3" s="8">
        <v>2029</v>
      </c>
      <c r="F3" s="8">
        <v>2030</v>
      </c>
      <c r="G3" s="1"/>
      <c r="H3" s="1"/>
      <c r="I3" s="1"/>
      <c r="J3" s="1"/>
      <c r="K3" s="1"/>
      <c r="L3" s="1"/>
      <c r="M3" s="1"/>
      <c r="N3" s="1"/>
    </row>
    <row r="4" spans="1:14">
      <c r="A4" s="1" t="s">
        <v>68</v>
      </c>
      <c r="B4" s="33">
        <f>'Income Statement'!E10</f>
        <v>71.25</v>
      </c>
      <c r="C4" s="33">
        <f>'Income Statement'!F10</f>
        <v>86.184000000000012</v>
      </c>
      <c r="D4" s="33">
        <f>'Income Statement'!G10</f>
        <v>101.82480000000001</v>
      </c>
      <c r="E4" s="33">
        <f>'Income Statement'!H10</f>
        <v>114.81623999999999</v>
      </c>
      <c r="F4" s="33">
        <f>'Income Statement'!I10</f>
        <v>132.26830848</v>
      </c>
      <c r="G4" s="1"/>
      <c r="H4" s="1"/>
      <c r="I4" s="1"/>
      <c r="J4" s="1"/>
      <c r="K4" s="1"/>
      <c r="L4" s="1"/>
      <c r="M4" s="1"/>
      <c r="N4" s="1"/>
    </row>
    <row r="5" spans="1:14">
      <c r="A5" s="1" t="s">
        <v>20</v>
      </c>
      <c r="B5" s="33">
        <f>Assumptions!B8</f>
        <v>0.25</v>
      </c>
      <c r="C5" s="33">
        <f>Assumptions!C8</f>
        <v>0.25</v>
      </c>
      <c r="D5" s="33">
        <f>Assumptions!D8</f>
        <v>0.25</v>
      </c>
      <c r="E5" s="33">
        <f>Assumptions!E8</f>
        <v>0.25</v>
      </c>
      <c r="F5" s="33">
        <f>Assumptions!F8</f>
        <v>0.25</v>
      </c>
      <c r="G5" s="1"/>
      <c r="H5" s="1"/>
      <c r="I5" s="1"/>
      <c r="J5" s="1"/>
      <c r="K5" s="1"/>
      <c r="L5" s="1"/>
      <c r="M5" s="1"/>
      <c r="N5" s="1"/>
    </row>
    <row r="6" spans="1:14">
      <c r="A6" s="1" t="s">
        <v>101</v>
      </c>
      <c r="B6" s="37">
        <f>B4*(1-B5)</f>
        <v>53.4375</v>
      </c>
      <c r="C6" s="37">
        <f>C4*(1-C5)</f>
        <v>64.638000000000005</v>
      </c>
      <c r="D6" s="37">
        <f>D4*(1-D5)</f>
        <v>76.368600000000015</v>
      </c>
      <c r="E6" s="37">
        <f>E4*(1-E5)</f>
        <v>86.112179999999995</v>
      </c>
      <c r="F6" s="37">
        <f>F4*(1-F5)</f>
        <v>99.201231360000008</v>
      </c>
      <c r="G6" s="1"/>
      <c r="H6" s="1"/>
      <c r="I6" s="1"/>
      <c r="J6" s="1"/>
      <c r="K6" s="1"/>
      <c r="L6" s="1"/>
      <c r="M6" s="1"/>
      <c r="N6" s="1"/>
    </row>
    <row r="7" spans="1:14">
      <c r="A7" s="1" t="s">
        <v>48</v>
      </c>
      <c r="B7" s="33">
        <f>-Schedules!E12</f>
        <v>11.4</v>
      </c>
      <c r="C7" s="33">
        <f>-Schedules!F12</f>
        <v>12.768000000000001</v>
      </c>
      <c r="D7" s="33">
        <f>-Schedules!G12</f>
        <v>14.0448</v>
      </c>
      <c r="E7" s="33">
        <f>-Schedules!H12</f>
        <v>15.308832000000001</v>
      </c>
      <c r="F7" s="33">
        <f>-Schedules!I12</f>
        <v>16.53353856</v>
      </c>
      <c r="G7" s="1"/>
      <c r="H7" s="1"/>
      <c r="I7" s="1"/>
      <c r="J7" s="1"/>
      <c r="K7" s="1"/>
      <c r="L7" s="1"/>
      <c r="M7" s="1"/>
      <c r="N7" s="1"/>
    </row>
    <row r="8" spans="1:14">
      <c r="A8" s="1" t="s">
        <v>61</v>
      </c>
      <c r="B8" s="33">
        <f>Schedules!E11</f>
        <v>-18.524999999999999</v>
      </c>
      <c r="C8" s="33">
        <f>Schedules!F11</f>
        <v>-19.152000000000001</v>
      </c>
      <c r="D8" s="33">
        <f>Schedules!G11</f>
        <v>-19.311599999999999</v>
      </c>
      <c r="E8" s="33">
        <f>Schedules!H11</f>
        <v>-19.136040000000001</v>
      </c>
      <c r="F8" s="33">
        <f>Schedules!I11</f>
        <v>-20.666923199999999</v>
      </c>
      <c r="G8" s="1"/>
      <c r="H8" s="1"/>
      <c r="I8" s="1"/>
      <c r="J8" s="1"/>
      <c r="K8" s="1"/>
      <c r="L8" s="1"/>
      <c r="M8" s="1"/>
      <c r="N8" s="1"/>
    </row>
    <row r="9" spans="1:14">
      <c r="A9" s="1" t="s">
        <v>102</v>
      </c>
      <c r="B9" s="33">
        <f>SUM('Cash Flow'!E6:E12)</f>
        <v>-8.8865068493150599</v>
      </c>
      <c r="C9" s="33">
        <f>SUM('Cash Flow'!F6:F12)</f>
        <v>-2.3732301369863098</v>
      </c>
      <c r="D9" s="33">
        <f>SUM('Cash Flow'!G6:G12)</f>
        <v>-1.9235079452054999</v>
      </c>
      <c r="E9" s="33">
        <f>SUM('Cash Flow'!H6:H12)</f>
        <v>-1.9379419068493</v>
      </c>
      <c r="F9" s="33">
        <f>SUM('Cash Flow'!I6:I12)</f>
        <v>-2.52658641008219</v>
      </c>
      <c r="G9" s="1"/>
      <c r="H9" s="1"/>
      <c r="I9" s="1"/>
      <c r="J9" s="1"/>
      <c r="K9" s="1"/>
      <c r="L9" s="1"/>
      <c r="M9" s="1"/>
      <c r="N9" s="1"/>
    </row>
    <row r="10" spans="1:14">
      <c r="A10" s="66" t="s">
        <v>103</v>
      </c>
      <c r="B10" s="67">
        <f>SUM(B6:B9)</f>
        <v>37.425993150684945</v>
      </c>
      <c r="C10" s="67">
        <f>SUM(C6:C9)</f>
        <v>55.880769863013697</v>
      </c>
      <c r="D10" s="67">
        <f>SUM(D6:D9)</f>
        <v>69.178292054794511</v>
      </c>
      <c r="E10" s="67">
        <f>SUM(E6:E9)</f>
        <v>80.347030093150678</v>
      </c>
      <c r="F10" s="67">
        <f>SUM(F6:F9)</f>
        <v>92.541260309917817</v>
      </c>
      <c r="G10" s="1"/>
      <c r="H10" s="1"/>
      <c r="I10" s="1"/>
      <c r="J10" s="1"/>
      <c r="K10" s="1"/>
      <c r="L10" s="1"/>
      <c r="M10" s="1"/>
      <c r="N10" s="1"/>
    </row>
    <row r="11" spans="1:14">
      <c r="A11" s="1" t="s">
        <v>104</v>
      </c>
      <c r="B11" s="60">
        <v>1</v>
      </c>
      <c r="C11" s="60">
        <v>2</v>
      </c>
      <c r="D11" s="60">
        <v>3</v>
      </c>
      <c r="E11" s="60">
        <v>4</v>
      </c>
      <c r="F11" s="60">
        <v>5</v>
      </c>
      <c r="G11" s="1"/>
      <c r="H11" s="1"/>
      <c r="I11" s="1"/>
      <c r="J11" s="1"/>
      <c r="K11" s="1"/>
      <c r="L11" s="1"/>
      <c r="M11" s="1"/>
      <c r="N11" s="1"/>
    </row>
    <row r="12" spans="1:14">
      <c r="A12" s="1" t="s">
        <v>105</v>
      </c>
      <c r="B12" s="37">
        <f>1/(1+$B$16)^B11</f>
        <v>0.90943194607068567</v>
      </c>
      <c r="C12" s="37">
        <f>1/(1+$B$16)^C11</f>
        <v>0.82706646453391452</v>
      </c>
      <c r="D12" s="37">
        <f>1/(1+$B$16)^D11</f>
        <v>0.75216066437087947</v>
      </c>
      <c r="E12" s="37">
        <f>1/(1+$B$16)^E11</f>
        <v>0.68403893675662875</v>
      </c>
      <c r="F12" s="37">
        <f>1/(1+$B$16)^F11</f>
        <v>0.62208686144270353</v>
      </c>
      <c r="G12" s="1"/>
      <c r="H12" s="1"/>
      <c r="I12" s="1"/>
      <c r="J12" s="1"/>
      <c r="K12" s="1"/>
      <c r="L12" s="1"/>
      <c r="M12" s="1"/>
      <c r="N12" s="1"/>
    </row>
    <row r="13" spans="1:14">
      <c r="A13" s="21" t="s">
        <v>106</v>
      </c>
      <c r="B13" s="40">
        <f>B10*B12</f>
        <v>34.036393784655566</v>
      </c>
      <c r="C13" s="40">
        <f>C10*C12</f>
        <v>46.217110766036058</v>
      </c>
      <c r="D13" s="40">
        <f>D10*D12</f>
        <v>52.033190111976971</v>
      </c>
      <c r="E13" s="40">
        <f>E10*E12</f>
        <v>54.960497036471644</v>
      </c>
      <c r="F13" s="40">
        <f>F10*F12</f>
        <v>57.568702180149003</v>
      </c>
      <c r="G13" s="1"/>
      <c r="H13" s="1"/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8" t="s">
        <v>107</v>
      </c>
      <c r="B15" s="8" t="s">
        <v>108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" t="s">
        <v>109</v>
      </c>
      <c r="B16" s="68">
        <f>Assumptions!B25*(Assumptions!B20+Assumptions!B22*Assumptions!B21)+Assumptions!B24*Assumptions!B23*(1-Assumptions!B8)</f>
        <v>9.9587499999999995E-2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 t="s">
        <v>40</v>
      </c>
      <c r="B17" s="28">
        <f>Assumptions!B26</f>
        <v>0.03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" t="s">
        <v>110</v>
      </c>
      <c r="B18" s="17">
        <f>F10*(1+B17)/(B16-B17)</f>
        <v>1369.750287324812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 t="s">
        <v>111</v>
      </c>
      <c r="B19" s="17">
        <f>B18*F12</f>
        <v>852.10365720213372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 t="s">
        <v>112</v>
      </c>
      <c r="B20" s="17">
        <f>SUM(B13:F13)</f>
        <v>244.81589387928926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 t="s">
        <v>113</v>
      </c>
      <c r="B21" s="17">
        <f>SUM(B19:B20)</f>
        <v>1096.9195510814229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21" t="s">
        <v>114</v>
      </c>
      <c r="B22" s="32">
        <f>'Balance Sheet'!D14</f>
        <v>42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 t="s">
        <v>115</v>
      </c>
      <c r="B23" s="27">
        <f>'Balance Sheet'!D4</f>
        <v>28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 t="s">
        <v>116</v>
      </c>
      <c r="B24" s="17">
        <f>SUM(B21,-B22,B23)</f>
        <v>1082.9195510814229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21" t="s">
        <v>117</v>
      </c>
      <c r="B25" s="69">
        <f>Assumptions!B27</f>
        <v>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 t="s">
        <v>118</v>
      </c>
      <c r="B26" s="61">
        <f>B24/B25</f>
        <v>43.316782043256914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21"/>
      <c r="B27" s="6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>
      <c r="A29" s="11" t="s">
        <v>119</v>
      </c>
      <c r="B29" s="11"/>
      <c r="C29" s="11"/>
      <c r="D29" s="11"/>
      <c r="E29" s="11"/>
      <c r="F29" s="11"/>
      <c r="G29" s="11"/>
      <c r="H29" s="1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8" t="s">
        <v>120</v>
      </c>
      <c r="B32" s="63">
        <v>0.08</v>
      </c>
      <c r="C32" s="63">
        <v>0.09</v>
      </c>
      <c r="D32" s="63">
        <v>0.1</v>
      </c>
      <c r="E32" s="63">
        <v>0.11</v>
      </c>
      <c r="F32" s="63">
        <v>0.12</v>
      </c>
      <c r="G32" s="63">
        <v>0.13</v>
      </c>
      <c r="H32" s="1"/>
      <c r="I32" s="1"/>
      <c r="J32" s="1"/>
      <c r="K32" s="1"/>
      <c r="L32" s="1"/>
      <c r="M32" s="1"/>
      <c r="N32" s="1"/>
    </row>
    <row r="33" spans="1:14">
      <c r="A33" s="18">
        <v>0.02</v>
      </c>
      <c r="B33" s="64">
        <f>('DCF Valuation'!$B$10/(1+B$32)^1+'DCF Valuation'!$C$10/(1+B$32)^2+'DCF Valuation'!$D$10/(1+B$32)^3+'DCF Valuation'!$E$10/(1+B$32)^4+'DCF Valuation'!$F$10/(1+B$32)^5+('DCF Valuation'!$F$10*(1+$A33)/(B$32-$A33))/(1+B$32)^5-'DCF Valuation'!$B$22+'DCF Valuation'!$B$23)/'DCF Valuation'!$B$25</f>
        <v>52.648494294963292</v>
      </c>
      <c r="C33" s="64">
        <f>('DCF Valuation'!$B$10/(1+C$32)^1+'DCF Valuation'!$C$10/(1+C$32)^2+'DCF Valuation'!$D$10/(1+C$32)^3+'DCF Valuation'!$E$10/(1+C$32)^4+'DCF Valuation'!$F$10/(1+C$32)^5+('DCF Valuation'!$F$10*(1+$A33)/(C$32-$A33))/(1+C$32)^5-'DCF Valuation'!$B$22+'DCF Valuation'!$B$23)/'DCF Valuation'!$B$25</f>
        <v>44.570343176359714</v>
      </c>
      <c r="D33" s="64">
        <f>('DCF Valuation'!$B$10/(1+D$32)^1+'DCF Valuation'!$C$10/(1+D$32)^2+'DCF Valuation'!$D$10/(1+D$32)^3+'DCF Valuation'!$E$10/(1+D$32)^4+'DCF Valuation'!$F$10/(1+D$32)^5+('DCF Valuation'!$F$10*(1+$A33)/(D$32-$A33))/(1+D$32)^5-'DCF Valuation'!$B$22+'DCF Valuation'!$B$23)/'DCF Valuation'!$B$25</f>
        <v>38.525817461791</v>
      </c>
      <c r="E33" s="64">
        <f>('DCF Valuation'!$B$10/(1+E$32)^1+'DCF Valuation'!$C$10/(1+E$32)^2+'DCF Valuation'!$D$10/(1+E$32)^3+'DCF Valuation'!$E$10/(1+E$32)^4+'DCF Valuation'!$F$10/(1+E$32)^5+('DCF Valuation'!$F$10*(1+$A33)/(E$32-$A33))/(1+E$32)^5-'DCF Valuation'!$B$22+'DCF Valuation'!$B$23)/'DCF Valuation'!$B$25</f>
        <v>33.836475850592706</v>
      </c>
      <c r="F33" s="64">
        <f>('DCF Valuation'!$B$10/(1+F$32)^1+'DCF Valuation'!$C$10/(1+F$32)^2+'DCF Valuation'!$D$10/(1+F$32)^3+'DCF Valuation'!$E$10/(1+F$32)^4+'DCF Valuation'!$F$10/(1+F$32)^5+('DCF Valuation'!$F$10*(1+$A33)/(F$32-$A33))/(1+F$32)^5-'DCF Valuation'!$B$22+'DCF Valuation'!$B$23)/'DCF Valuation'!$B$25</f>
        <v>30.095281768254019</v>
      </c>
      <c r="G33" s="64">
        <f>('DCF Valuation'!$B$10/(1+G$32)^1+'DCF Valuation'!$C$10/(1+G$32)^2+'DCF Valuation'!$D$10/(1+G$32)^3+'DCF Valuation'!$E$10/(1+G$32)^4+'DCF Valuation'!$F$10/(1+G$32)^5+('DCF Valuation'!$F$10*(1+$A33)/(G$32-$A33))/(1+G$32)^5-'DCF Valuation'!$B$22+'DCF Valuation'!$B$23)/'DCF Valuation'!$B$25</f>
        <v>27.043235921810755</v>
      </c>
      <c r="H33" s="1"/>
      <c r="I33" s="1"/>
      <c r="J33" s="1"/>
      <c r="K33" s="1"/>
      <c r="L33" s="1"/>
      <c r="M33" s="1"/>
      <c r="N33" s="1"/>
    </row>
    <row r="34" spans="1:14">
      <c r="A34" s="18">
        <v>2.5000000000000001E-2</v>
      </c>
      <c r="B34" s="64">
        <f>('DCF Valuation'!$B$10/(1+B$32)^1+'DCF Valuation'!$C$10/(1+B$32)^2+'DCF Valuation'!$D$10/(1+B$32)^3+'DCF Valuation'!$E$10/(1+B$32)^4+'DCF Valuation'!$F$10/(1+B$32)^5+('DCF Valuation'!$F$10*(1+$A34)/(B$32-$A34))/(1+B$32)^5-'DCF Valuation'!$B$22+'DCF Valuation'!$B$23)/'DCF Valuation'!$B$25</f>
        <v>56.770954230914633</v>
      </c>
      <c r="C34" s="64">
        <f>('DCF Valuation'!$B$10/(1+C$32)^1+'DCF Valuation'!$C$10/(1+C$32)^2+'DCF Valuation'!$D$10/(1+C$32)^3+'DCF Valuation'!$E$10/(1+C$32)^4+'DCF Valuation'!$F$10/(1+C$32)^5+('DCF Valuation'!$F$10*(1+$A34)/(C$32-$A34))/(1+C$32)^5-'DCF Valuation'!$B$22+'DCF Valuation'!$B$23)/'DCF Valuation'!$B$25</f>
        <v>47.452038203493451</v>
      </c>
      <c r="D34" s="64">
        <f>('DCF Valuation'!$B$10/(1+D$32)^1+'DCF Valuation'!$C$10/(1+D$32)^2+'DCF Valuation'!$D$10/(1+D$32)^3+'DCF Valuation'!$E$10/(1+D$32)^4+'DCF Valuation'!$F$10/(1+D$32)^5+('DCF Valuation'!$F$10*(1+$A34)/(D$32-$A34))/(1+D$32)^5-'DCF Valuation'!$B$22+'DCF Valuation'!$B$23)/'DCF Valuation'!$B$25</f>
        <v>40.632714994061509</v>
      </c>
      <c r="E34" s="64">
        <f>('DCF Valuation'!$B$10/(1+E$32)^1+'DCF Valuation'!$C$10/(1+E$32)^2+'DCF Valuation'!$D$10/(1+E$32)^3+'DCF Valuation'!$E$10/(1+E$32)^4+'DCF Valuation'!$F$10/(1+E$32)^5+('DCF Valuation'!$F$10*(1+$A34)/(E$32-$A34))/(1+E$32)^5-'DCF Valuation'!$B$22+'DCF Valuation'!$B$23)/'DCF Valuation'!$B$25</f>
        <v>35.430195969613841</v>
      </c>
      <c r="F34" s="64">
        <f>('DCF Valuation'!$B$10/(1+F$32)^1+'DCF Valuation'!$C$10/(1+F$32)^2+'DCF Valuation'!$D$10/(1+F$32)^3+'DCF Valuation'!$E$10/(1+F$32)^4+'DCF Valuation'!$F$10/(1+F$32)^5+('DCF Valuation'!$F$10*(1+$A34)/(F$32-$A34))/(1+F$32)^5-'DCF Valuation'!$B$22+'DCF Valuation'!$B$23)/'DCF Valuation'!$B$25</f>
        <v>31.333421640366023</v>
      </c>
      <c r="G34" s="64">
        <f>('DCF Valuation'!$B$10/(1+G$32)^1+'DCF Valuation'!$C$10/(1+G$32)^2+'DCF Valuation'!$D$10/(1+G$32)^3+'DCF Valuation'!$E$10/(1+G$32)^4+'DCF Valuation'!$F$10/(1+G$32)^5+('DCF Valuation'!$F$10*(1+$A34)/(G$32-$A34))/(1+G$32)^5-'DCF Valuation'!$B$22+'DCF Valuation'!$B$23)/'DCF Valuation'!$B$25</f>
        <v>28.026046104167893</v>
      </c>
      <c r="H34" s="1"/>
      <c r="I34" s="1"/>
      <c r="J34" s="1"/>
      <c r="K34" s="1"/>
      <c r="L34" s="1"/>
      <c r="M34" s="1"/>
      <c r="N34" s="1"/>
    </row>
    <row r="35" spans="1:14">
      <c r="A35" s="18">
        <v>0.03</v>
      </c>
      <c r="B35" s="64">
        <f>('DCF Valuation'!$B$10/(1+B$32)^1+'DCF Valuation'!$C$10/(1+B$32)^2+'DCF Valuation'!$D$10/(1+B$32)^3+'DCF Valuation'!$E$10/(1+B$32)^4+'DCF Valuation'!$F$10/(1+B$32)^5+('DCF Valuation'!$F$10*(1+$A35)/(B$32-$A35))/(1+B$32)^5-'DCF Valuation'!$B$22+'DCF Valuation'!$B$23)/'DCF Valuation'!$B$25</f>
        <v>61.717906154056237</v>
      </c>
      <c r="C35" s="64">
        <f>('DCF Valuation'!$B$10/(1+C$32)^1+'DCF Valuation'!$C$10/(1+C$32)^2+'DCF Valuation'!$D$10/(1+C$32)^3+'DCF Valuation'!$E$10/(1+C$32)^4+'DCF Valuation'!$F$10/(1+C$32)^5+('DCF Valuation'!$F$10*(1+$A35)/(C$32-$A35))/(1+C$32)^5-'DCF Valuation'!$B$22+'DCF Valuation'!$B$23)/'DCF Valuation'!$B$25</f>
        <v>50.814015735149496</v>
      </c>
      <c r="D35" s="64">
        <f>('DCF Valuation'!$B$10/(1+D$32)^1+'DCF Valuation'!$C$10/(1+D$32)^2+'DCF Valuation'!$D$10/(1+D$32)^3+'DCF Valuation'!$E$10/(1+D$32)^4+'DCF Valuation'!$F$10/(1+D$32)^5+('DCF Valuation'!$F$10*(1+$A35)/(D$32-$A35))/(1+D$32)^5-'DCF Valuation'!$B$22+'DCF Valuation'!$B$23)/'DCF Valuation'!$B$25</f>
        <v>43.04059788808496</v>
      </c>
      <c r="E35" s="64">
        <f>('DCF Valuation'!$B$10/(1+E$32)^1+'DCF Valuation'!$C$10/(1+E$32)^2+'DCF Valuation'!$D$10/(1+E$32)^3+'DCF Valuation'!$E$10/(1+E$32)^4+'DCF Valuation'!$F$10/(1+E$32)^5+('DCF Valuation'!$F$10*(1+$A35)/(E$32-$A35))/(1+E$32)^5-'DCF Valuation'!$B$22+'DCF Valuation'!$B$23)/'DCF Valuation'!$B$25</f>
        <v>37.223131103512614</v>
      </c>
      <c r="F35" s="64">
        <f>('DCF Valuation'!$B$10/(1+F$32)^1+'DCF Valuation'!$C$10/(1+F$32)^2+'DCF Valuation'!$D$10/(1+F$32)^3+'DCF Valuation'!$E$10/(1+F$32)^4+'DCF Valuation'!$F$10/(1+F$32)^5+('DCF Valuation'!$F$10*(1+$A35)/(F$32-$A35))/(1+F$32)^5-'DCF Valuation'!$B$22+'DCF Valuation'!$B$23)/'DCF Valuation'!$B$25</f>
        <v>32.709132609379367</v>
      </c>
      <c r="G35" s="64">
        <f>('DCF Valuation'!$B$10/(1+G$32)^1+'DCF Valuation'!$C$10/(1+G$32)^2+'DCF Valuation'!$D$10/(1+G$32)^3+'DCF Valuation'!$E$10/(1+G$32)^4+'DCF Valuation'!$F$10/(1+G$32)^5+('DCF Valuation'!$F$10*(1+$A35)/(G$32-$A35))/(1+G$32)^5-'DCF Valuation'!$B$22+'DCF Valuation'!$B$23)/'DCF Valuation'!$B$25</f>
        <v>29.107137304760755</v>
      </c>
      <c r="H35" s="1"/>
      <c r="I35" s="1"/>
      <c r="J35" s="1"/>
      <c r="K35" s="1"/>
      <c r="L35" s="1"/>
      <c r="M35" s="1"/>
      <c r="N35" s="1"/>
    </row>
    <row r="36" spans="1:14">
      <c r="A36" s="18">
        <v>3.5000000000000003E-2</v>
      </c>
      <c r="B36" s="64">
        <f>('DCF Valuation'!$B$10/(1+B$32)^1+'DCF Valuation'!$C$10/(1+B$32)^2+'DCF Valuation'!$D$10/(1+B$32)^3+'DCF Valuation'!$E$10/(1+B$32)^4+'DCF Valuation'!$F$10/(1+B$32)^5+('DCF Valuation'!$F$10*(1+$A36)/(B$32-$A36))/(1+B$32)^5-'DCF Valuation'!$B$22+'DCF Valuation'!$B$23)/'DCF Valuation'!$B$25</f>
        <v>67.764180726784872</v>
      </c>
      <c r="C36" s="64">
        <f>('DCF Valuation'!$B$10/(1+C$32)^1+'DCF Valuation'!$C$10/(1+C$32)^2+'DCF Valuation'!$D$10/(1+C$32)^3+'DCF Valuation'!$E$10/(1+C$32)^4+'DCF Valuation'!$F$10/(1+C$32)^5+('DCF Valuation'!$F$10*(1+$A36)/(C$32-$A36))/(1+C$32)^5-'DCF Valuation'!$B$22+'DCF Valuation'!$B$23)/'DCF Valuation'!$B$25</f>
        <v>54.787261908924819</v>
      </c>
      <c r="D36" s="64">
        <f>('DCF Valuation'!$B$10/(1+D$32)^1+'DCF Valuation'!$C$10/(1+D$32)^2+'DCF Valuation'!$D$10/(1+D$32)^3+'DCF Valuation'!$E$10/(1+D$32)^4+'DCF Valuation'!$F$10/(1+D$32)^5+('DCF Valuation'!$F$10*(1+$A36)/(D$32-$A36))/(1+D$32)^5-'DCF Valuation'!$B$22+'DCF Valuation'!$B$23)/'DCF Valuation'!$B$25</f>
        <v>45.818924304265856</v>
      </c>
      <c r="E36" s="64">
        <f>('DCF Valuation'!$B$10/(1+E$32)^1+'DCF Valuation'!$C$10/(1+E$32)^2+'DCF Valuation'!$D$10/(1+E$32)^3+'DCF Valuation'!$E$10/(1+E$32)^4+'DCF Valuation'!$F$10/(1+E$32)^5+('DCF Valuation'!$F$10*(1+$A36)/(E$32-$A36))/(1+E$32)^5-'DCF Valuation'!$B$22+'DCF Valuation'!$B$23)/'DCF Valuation'!$B$25</f>
        <v>39.255124255264548</v>
      </c>
      <c r="F36" s="64">
        <f>('DCF Valuation'!$B$10/(1+F$32)^1+'DCF Valuation'!$C$10/(1+F$32)^2+'DCF Valuation'!$D$10/(1+F$32)^3+'DCF Valuation'!$E$10/(1+F$32)^4+'DCF Valuation'!$F$10/(1+F$32)^5+('DCF Valuation'!$F$10*(1+$A36)/(F$32-$A36))/(1+F$32)^5-'DCF Valuation'!$B$22+'DCF Valuation'!$B$23)/'DCF Valuation'!$B$25</f>
        <v>34.246691927688389</v>
      </c>
      <c r="G36" s="64">
        <f>('DCF Valuation'!$B$10/(1+G$32)^1+'DCF Valuation'!$C$10/(1+G$32)^2+'DCF Valuation'!$D$10/(1+G$32)^3+'DCF Valuation'!$E$10/(1+G$32)^4+'DCF Valuation'!$F$10/(1+G$32)^5+('DCF Valuation'!$F$10*(1+$A36)/(G$32-$A36))/(1+G$32)^5-'DCF Valuation'!$B$22+'DCF Valuation'!$B$23)/'DCF Valuation'!$B$25</f>
        <v>30.302027579100223</v>
      </c>
      <c r="H36" s="1"/>
      <c r="I36" s="1"/>
      <c r="J36" s="1"/>
      <c r="K36" s="1"/>
      <c r="L36" s="1"/>
      <c r="M36" s="1"/>
      <c r="N36" s="1"/>
    </row>
    <row r="37" spans="1:14">
      <c r="A37" s="18">
        <v>0.04</v>
      </c>
      <c r="B37" s="64">
        <f>('DCF Valuation'!$B$10/(1+B$32)^1+'DCF Valuation'!$C$10/(1+B$32)^2+'DCF Valuation'!$D$10/(1+B$32)^3+'DCF Valuation'!$E$10/(1+B$32)^4+'DCF Valuation'!$F$10/(1+B$32)^5+('DCF Valuation'!$F$10*(1+$A37)/(B$32-$A37))/(1+B$32)^5-'DCF Valuation'!$B$22+'DCF Valuation'!$B$23)/'DCF Valuation'!$B$25</f>
        <v>75.322023942695665</v>
      </c>
      <c r="C37" s="64">
        <f>('DCF Valuation'!$B$10/(1+C$32)^1+'DCF Valuation'!$C$10/(1+C$32)^2+'DCF Valuation'!$D$10/(1+C$32)^3+'DCF Valuation'!$E$10/(1+C$32)^4+'DCF Valuation'!$F$10/(1+C$32)^5+('DCF Valuation'!$F$10*(1+$A37)/(C$32-$A37))/(1+C$32)^5-'DCF Valuation'!$B$22+'DCF Valuation'!$B$23)/'DCF Valuation'!$B$25</f>
        <v>59.555157317455205</v>
      </c>
      <c r="D37" s="64">
        <f>('DCF Valuation'!$B$10/(1+D$32)^1+'DCF Valuation'!$C$10/(1+D$32)^2+'DCF Valuation'!$D$10/(1+D$32)^3+'DCF Valuation'!$E$10/(1+D$32)^4+'DCF Valuation'!$F$10/(1+D$32)^5+('DCF Valuation'!$F$10*(1+$A37)/(D$32-$A37))/(1+D$32)^5-'DCF Valuation'!$B$22+'DCF Valuation'!$B$23)/'DCF Valuation'!$B$25</f>
        <v>49.060305123143571</v>
      </c>
      <c r="E37" s="64">
        <f>('DCF Valuation'!$B$10/(1+E$32)^1+'DCF Valuation'!$C$10/(1+E$32)^2+'DCF Valuation'!$D$10/(1+E$32)^3+'DCF Valuation'!$E$10/(1+E$32)^4+'DCF Valuation'!$F$10/(1+E$32)^5+('DCF Valuation'!$F$10*(1+$A37)/(E$32-$A37))/(1+E$32)^5-'DCF Valuation'!$B$22+'DCF Valuation'!$B$23)/'DCF Valuation'!$B$25</f>
        <v>41.577402142981057</v>
      </c>
      <c r="F37" s="64">
        <f>('DCF Valuation'!$B$10/(1+F$32)^1+'DCF Valuation'!$C$10/(1+F$32)^2+'DCF Valuation'!$D$10/(1+F$32)^3+'DCF Valuation'!$E$10/(1+F$32)^4+'DCF Valuation'!$F$10/(1+F$32)^5+('DCF Valuation'!$F$10*(1+$A37)/(F$32-$A37))/(1+F$32)^5-'DCF Valuation'!$B$22+'DCF Valuation'!$B$23)/'DCF Valuation'!$B$25</f>
        <v>35.976446160786047</v>
      </c>
      <c r="G37" s="64">
        <f>('DCF Valuation'!$B$10/(1+G$32)^1+'DCF Valuation'!$C$10/(1+G$32)^2+'DCF Valuation'!$D$10/(1+G$32)^3+'DCF Valuation'!$E$10/(1+G$32)^4+'DCF Valuation'!$F$10/(1+G$32)^5+('DCF Valuation'!$F$10*(1+$A37)/(G$32-$A37))/(1+G$32)^5-'DCF Valuation'!$B$22+'DCF Valuation'!$B$23)/'DCF Valuation'!$B$25</f>
        <v>31.629683439477411</v>
      </c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31" t="s">
        <v>121</v>
      </c>
      <c r="B39" s="31"/>
      <c r="C39" s="31"/>
      <c r="D39" s="31"/>
      <c r="E39" s="31"/>
      <c r="F39" s="31"/>
      <c r="G39" s="31"/>
      <c r="H39" s="31"/>
      <c r="I39" s="31"/>
      <c r="J39" s="1"/>
      <c r="K39" s="1"/>
      <c r="L39" s="1"/>
      <c r="M39" s="1"/>
      <c r="N39" s="1"/>
    </row>
    <row r="40" spans="1:14">
      <c r="A40" s="31" t="s">
        <v>122</v>
      </c>
      <c r="B40" s="31"/>
      <c r="C40" s="31"/>
      <c r="D40" s="31"/>
      <c r="E40" s="31"/>
      <c r="F40" s="31"/>
      <c r="G40" s="31"/>
      <c r="H40" s="31"/>
      <c r="I40" s="31"/>
      <c r="J40" s="1"/>
      <c r="K40" s="1"/>
      <c r="L40" s="1"/>
      <c r="M40" s="1"/>
      <c r="N40" s="1"/>
    </row>
  </sheetData>
  <mergeCells count="4">
    <mergeCell ref="A1:G1"/>
    <mergeCell ref="A29:H29"/>
    <mergeCell ref="A39:I39"/>
    <mergeCell ref="A40:I40"/>
  </mergeCells>
  <conditionalFormatting sqref="B33:G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0"/>
  <sheetViews>
    <sheetView showGridLines="0" workbookViewId="0">
      <selection sqref="A1:J1"/>
    </sheetView>
  </sheetViews>
  <sheetFormatPr defaultColWidth="0" defaultRowHeight="14.4" zeroHeight="1"/>
  <cols>
    <col min="1" max="1" width="25.21875" style="2" customWidth="1"/>
    <col min="2" max="10" width="13" style="2" customWidth="1"/>
    <col min="11" max="15" width="13" style="2" hidden="1" customWidth="1"/>
    <col min="16" max="16384" width="8.77734375" style="2" hidden="1"/>
  </cols>
  <sheetData>
    <row r="1" spans="1:15" ht="18">
      <c r="A1" s="65" t="s">
        <v>123</v>
      </c>
      <c r="B1" s="65"/>
      <c r="C1" s="65"/>
      <c r="D1" s="65"/>
      <c r="E1" s="65"/>
      <c r="F1" s="65"/>
      <c r="G1" s="65"/>
      <c r="H1" s="65"/>
      <c r="I1" s="65"/>
      <c r="J1" s="65"/>
      <c r="K1" s="1"/>
      <c r="L1" s="1"/>
      <c r="M1" s="1"/>
      <c r="N1" s="1"/>
      <c r="O1" s="1"/>
    </row>
    <row r="2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8" t="s">
        <v>124</v>
      </c>
      <c r="B3" s="8" t="s">
        <v>108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125</v>
      </c>
      <c r="B4" s="17">
        <f>'Income Statement'!D4</f>
        <v>250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126</v>
      </c>
      <c r="B5" s="17">
        <f>'Income Statement'!I4</f>
        <v>413.33846399999999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127</v>
      </c>
      <c r="B6" s="18">
        <f>'Income Statement'!I8/'Income Statement'!I4</f>
        <v>0.36000000000000004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 t="s">
        <v>128</v>
      </c>
      <c r="B7" s="17">
        <f>'DCF Valuation'!B21</f>
        <v>1096.9195510814229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129</v>
      </c>
      <c r="B8" s="64">
        <f>'DCF Valuation'!B26</f>
        <v>43.316782043256914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8" t="s">
        <v>44</v>
      </c>
      <c r="B11" s="8">
        <v>2026</v>
      </c>
      <c r="C11" s="8">
        <v>2027</v>
      </c>
      <c r="D11" s="8">
        <v>2028</v>
      </c>
      <c r="E11" s="8">
        <v>2029</v>
      </c>
      <c r="F11" s="8">
        <v>2030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 t="s">
        <v>45</v>
      </c>
      <c r="B12" s="17">
        <f>'Income Statement'!E4</f>
        <v>285</v>
      </c>
      <c r="C12" s="17">
        <f>'Income Statement'!F4</f>
        <v>319.2</v>
      </c>
      <c r="D12" s="17">
        <f>'Income Statement'!G4</f>
        <v>351.12</v>
      </c>
      <c r="E12" s="17">
        <f>'Income Statement'!H4</f>
        <v>382.7208</v>
      </c>
      <c r="F12" s="17">
        <f>'Income Statement'!I4</f>
        <v>413.33846399999999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 t="s">
        <v>67</v>
      </c>
      <c r="B13" s="17">
        <f>'Income Statement'!E8</f>
        <v>82.65</v>
      </c>
      <c r="C13" s="17">
        <f>'Income Statement'!F8</f>
        <v>98.952000000000012</v>
      </c>
      <c r="D13" s="17">
        <f>'Income Statement'!G8</f>
        <v>115.86960000000001</v>
      </c>
      <c r="E13" s="17">
        <f>'Income Statement'!H8</f>
        <v>130.12507199999999</v>
      </c>
      <c r="F13" s="17">
        <f>'Income Statement'!I8</f>
        <v>148.80184704000001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 t="s">
        <v>103</v>
      </c>
      <c r="B14" s="17">
        <f>'DCF Valuation'!B10</f>
        <v>37.425993150684945</v>
      </c>
      <c r="C14" s="17">
        <f>'DCF Valuation'!C10</f>
        <v>55.880769863013697</v>
      </c>
      <c r="D14" s="17">
        <f>'DCF Valuation'!D10</f>
        <v>69.178292054794511</v>
      </c>
      <c r="E14" s="17">
        <f>'DCF Valuation'!E10</f>
        <v>80.347030093150678</v>
      </c>
      <c r="F14" s="17">
        <f>'DCF Valuation'!F10</f>
        <v>92.541260309917817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idden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idden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idden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idden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idden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idden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idden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idden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idden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idden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idden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idden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Assumptions</vt:lpstr>
      <vt:lpstr>Historical Data</vt:lpstr>
      <vt:lpstr>Revenue Build</vt:lpstr>
      <vt:lpstr>Income Statement</vt:lpstr>
      <vt:lpstr>Balance Sheet</vt:lpstr>
      <vt:lpstr>Cash Flow</vt:lpstr>
      <vt:lpstr>Schedules</vt:lpstr>
      <vt:lpstr>DCF Valuation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Rukmini k s</cp:lastModifiedBy>
  <dcterms:created xsi:type="dcterms:W3CDTF">2026-09-27T03:35:32Z</dcterms:created>
  <dcterms:modified xsi:type="dcterms:W3CDTF">2026-09-27T09:27:04Z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2CBC506DFF414C399F585791EDA86111_12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