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kmi\Desktop\SQL PRACTICE\KPI Analysis-Modelling\"/>
    </mc:Choice>
  </mc:AlternateContent>
  <xr:revisionPtr revIDLastSave="0" documentId="13_ncr:1_{1B57BAFC-CEA4-4BB5-8317-00EFA0A29EAD}" xr6:coauthVersionLast="47" xr6:coauthVersionMax="47" xr10:uidLastSave="{00000000-0000-0000-0000-000000000000}"/>
  <bookViews>
    <workbookView xWindow="-108" yWindow="-108" windowWidth="23256" windowHeight="12456" tabRatio="979" xr2:uid="{00000000-000D-0000-FFFF-FFFF00000000}"/>
  </bookViews>
  <sheets>
    <sheet name="Cover" sheetId="1" r:id="rId1"/>
    <sheet name="Assumptions" sheetId="2" r:id="rId2"/>
    <sheet name="Actuals" sheetId="3" r:id="rId3"/>
    <sheet name="Revenue Forecast" sheetId="4" r:id="rId4"/>
    <sheet name="Headcount Plan" sheetId="5" r:id="rId5"/>
    <sheet name="Opex Forecast" sheetId="6" r:id="rId6"/>
    <sheet name="P&amp;L" sheetId="7" r:id="rId7"/>
    <sheet name="P&amp;L- Detailed View" sheetId="11" r:id="rId8"/>
    <sheet name="Fct vs Bud Var Analysis" sheetId="8" r:id="rId9"/>
    <sheet name="Scenarios" sheetId="9" r:id="rId10"/>
    <sheet name="Budget 2027" sheetId="12" r:id="rId11"/>
    <sheet name="Checks" sheetId="14" r:id="rId12"/>
  </sheets>
  <calcPr calcId="191029"/>
</workbook>
</file>

<file path=xl/calcChain.xml><?xml version="1.0" encoding="utf-8"?>
<calcChain xmlns="http://schemas.openxmlformats.org/spreadsheetml/2006/main">
  <c r="J63" i="12" l="1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C8" i="12"/>
  <c r="D8" i="12" s="1"/>
  <c r="J7" i="12"/>
  <c r="I7" i="12"/>
  <c r="C7" i="12"/>
  <c r="J6" i="12"/>
  <c r="I6" i="12"/>
  <c r="D6" i="12"/>
  <c r="C6" i="12"/>
  <c r="E6" i="12" s="1"/>
  <c r="F6" i="12" s="1"/>
  <c r="C11" i="12" s="1"/>
  <c r="J5" i="12"/>
  <c r="I5" i="12"/>
  <c r="E5" i="12"/>
  <c r="C5" i="12"/>
  <c r="D5" i="12" s="1"/>
  <c r="J4" i="12"/>
  <c r="I4" i="12"/>
  <c r="E4" i="12"/>
  <c r="D4" i="12"/>
  <c r="F4" i="12" s="1"/>
  <c r="C9" i="12" s="1"/>
  <c r="C4" i="12"/>
  <c r="K15" i="8"/>
  <c r="K14" i="8"/>
  <c r="K13" i="8"/>
  <c r="K12" i="8"/>
  <c r="K11" i="8"/>
  <c r="K10" i="8"/>
  <c r="K9" i="8"/>
  <c r="K8" i="8"/>
  <c r="K7" i="8"/>
  <c r="K6" i="8"/>
  <c r="K5" i="8"/>
  <c r="K4" i="8"/>
  <c r="B2" i="8"/>
  <c r="AM63" i="11"/>
  <c r="AL63" i="11"/>
  <c r="AM62" i="11"/>
  <c r="AL62" i="11"/>
  <c r="AM61" i="11"/>
  <c r="AL61" i="11"/>
  <c r="AM60" i="11"/>
  <c r="AL60" i="11"/>
  <c r="AN59" i="11"/>
  <c r="AM59" i="11"/>
  <c r="AL59" i="11"/>
  <c r="AN58" i="11"/>
  <c r="AM58" i="11"/>
  <c r="AL58" i="11"/>
  <c r="B58" i="11"/>
  <c r="AN57" i="11"/>
  <c r="AM57" i="11"/>
  <c r="AL57" i="11"/>
  <c r="AM56" i="11"/>
  <c r="AL56" i="11"/>
  <c r="AJ56" i="11"/>
  <c r="AH56" i="11"/>
  <c r="AF56" i="11"/>
  <c r="AD56" i="11"/>
  <c r="AB56" i="11"/>
  <c r="Z56" i="11"/>
  <c r="AM55" i="11"/>
  <c r="AL55" i="11"/>
  <c r="AK55" i="11"/>
  <c r="AK56" i="11" s="1"/>
  <c r="AJ55" i="11"/>
  <c r="AJ60" i="11" s="1"/>
  <c r="AJ61" i="11" s="1"/>
  <c r="AI55" i="11"/>
  <c r="AH55" i="11"/>
  <c r="AH60" i="11" s="1"/>
  <c r="AH61" i="11" s="1"/>
  <c r="AG55" i="11"/>
  <c r="AG56" i="11" s="1"/>
  <c r="AF55" i="11"/>
  <c r="AF60" i="11" s="1"/>
  <c r="AF61" i="11" s="1"/>
  <c r="AE55" i="11"/>
  <c r="AD55" i="11"/>
  <c r="AD60" i="11" s="1"/>
  <c r="AD61" i="11" s="1"/>
  <c r="AC55" i="11"/>
  <c r="AC56" i="11" s="1"/>
  <c r="AB55" i="11"/>
  <c r="AB60" i="11" s="1"/>
  <c r="AB61" i="11" s="1"/>
  <c r="AA55" i="11"/>
  <c r="Z55" i="11"/>
  <c r="AN55" i="11" s="1"/>
  <c r="AN54" i="11"/>
  <c r="AM54" i="11"/>
  <c r="AL54" i="11"/>
  <c r="AN53" i="11"/>
  <c r="AM53" i="11"/>
  <c r="AL53" i="11"/>
  <c r="AN52" i="11"/>
  <c r="AM52" i="11"/>
  <c r="AL52" i="11"/>
  <c r="B52" i="11"/>
  <c r="AN51" i="11"/>
  <c r="AM51" i="11"/>
  <c r="AL51" i="11"/>
  <c r="AN50" i="11"/>
  <c r="AM50" i="11"/>
  <c r="AL50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AM47" i="11" s="1"/>
  <c r="M47" i="11"/>
  <c r="L47" i="11"/>
  <c r="K47" i="11"/>
  <c r="J47" i="11"/>
  <c r="I47" i="11"/>
  <c r="H47" i="11"/>
  <c r="G47" i="11"/>
  <c r="F47" i="11"/>
  <c r="E47" i="11"/>
  <c r="D47" i="11"/>
  <c r="C47" i="11"/>
  <c r="B47" i="11"/>
  <c r="AN46" i="11"/>
  <c r="AM46" i="11"/>
  <c r="AL46" i="11"/>
  <c r="B46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X44" i="11"/>
  <c r="H44" i="11"/>
  <c r="W43" i="11"/>
  <c r="S43" i="11"/>
  <c r="S44" i="11" s="1"/>
  <c r="O43" i="11"/>
  <c r="K43" i="11"/>
  <c r="G43" i="11"/>
  <c r="C43" i="11"/>
  <c r="C48" i="11" s="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AN42" i="11" s="1"/>
  <c r="Y42" i="11"/>
  <c r="X42" i="11"/>
  <c r="W42" i="11"/>
  <c r="V42" i="11"/>
  <c r="U42" i="11"/>
  <c r="T42" i="11"/>
  <c r="S42" i="11"/>
  <c r="R42" i="11"/>
  <c r="Q42" i="11"/>
  <c r="P42" i="11"/>
  <c r="O42" i="11"/>
  <c r="N42" i="11"/>
  <c r="AM42" i="11" s="1"/>
  <c r="M42" i="11"/>
  <c r="L42" i="11"/>
  <c r="K42" i="11"/>
  <c r="J42" i="11"/>
  <c r="I42" i="11"/>
  <c r="H42" i="11"/>
  <c r="G42" i="11"/>
  <c r="F42" i="11"/>
  <c r="AL42" i="11" s="1"/>
  <c r="E42" i="11"/>
  <c r="D42" i="11"/>
  <c r="C42" i="11"/>
  <c r="B42" i="11"/>
  <c r="Y41" i="11"/>
  <c r="Y43" i="11" s="1"/>
  <c r="Y44" i="11" s="1"/>
  <c r="X41" i="11"/>
  <c r="X43" i="11" s="1"/>
  <c r="X48" i="11" s="1"/>
  <c r="X49" i="11" s="1"/>
  <c r="W41" i="11"/>
  <c r="V41" i="11"/>
  <c r="U41" i="11"/>
  <c r="U43" i="11" s="1"/>
  <c r="T41" i="11"/>
  <c r="T43" i="11" s="1"/>
  <c r="T48" i="11" s="1"/>
  <c r="T49" i="11" s="1"/>
  <c r="S41" i="11"/>
  <c r="R41" i="11"/>
  <c r="Q41" i="11"/>
  <c r="Q43" i="11" s="1"/>
  <c r="P41" i="11"/>
  <c r="P43" i="11" s="1"/>
  <c r="P48" i="11" s="1"/>
  <c r="P49" i="11" s="1"/>
  <c r="O41" i="11"/>
  <c r="N41" i="11"/>
  <c r="M41" i="11"/>
  <c r="M43" i="11" s="1"/>
  <c r="L41" i="11"/>
  <c r="L43" i="11" s="1"/>
  <c r="L48" i="11" s="1"/>
  <c r="L49" i="11" s="1"/>
  <c r="K41" i="11"/>
  <c r="J41" i="11"/>
  <c r="I41" i="11"/>
  <c r="I43" i="11" s="1"/>
  <c r="I44" i="11" s="1"/>
  <c r="H41" i="11"/>
  <c r="H43" i="11" s="1"/>
  <c r="H48" i="11" s="1"/>
  <c r="H49" i="11" s="1"/>
  <c r="G41" i="11"/>
  <c r="F41" i="11"/>
  <c r="E41" i="11"/>
  <c r="E43" i="11" s="1"/>
  <c r="D41" i="11"/>
  <c r="D43" i="11" s="1"/>
  <c r="D48" i="11" s="1"/>
  <c r="D49" i="11" s="1"/>
  <c r="C41" i="11"/>
  <c r="B41" i="11"/>
  <c r="AN40" i="11"/>
  <c r="AM40" i="11"/>
  <c r="AL40" i="11"/>
  <c r="B40" i="11"/>
  <c r="AN39" i="11"/>
  <c r="AM39" i="11"/>
  <c r="AL39" i="11"/>
  <c r="AN38" i="11"/>
  <c r="AM38" i="11"/>
  <c r="AL38" i="11"/>
  <c r="N37" i="11"/>
  <c r="U36" i="11"/>
  <c r="U37" i="11" s="1"/>
  <c r="Q36" i="11"/>
  <c r="Q37" i="11" s="1"/>
  <c r="E36" i="11"/>
  <c r="E37" i="11" s="1"/>
  <c r="Y35" i="11"/>
  <c r="X35" i="11"/>
  <c r="W35" i="11"/>
  <c r="V35" i="11"/>
  <c r="U35" i="11"/>
  <c r="T35" i="11"/>
  <c r="S35" i="11"/>
  <c r="R35" i="11"/>
  <c r="Q35" i="11"/>
  <c r="P35" i="11"/>
  <c r="O35" i="11"/>
  <c r="N35" i="11"/>
  <c r="AM35" i="11" s="1"/>
  <c r="M35" i="11"/>
  <c r="L35" i="11"/>
  <c r="K35" i="11"/>
  <c r="J35" i="11"/>
  <c r="I35" i="11"/>
  <c r="H35" i="11"/>
  <c r="G35" i="11"/>
  <c r="F35" i="11"/>
  <c r="E35" i="11"/>
  <c r="D35" i="11"/>
  <c r="C35" i="11"/>
  <c r="B35" i="11"/>
  <c r="AN34" i="11"/>
  <c r="AM34" i="11"/>
  <c r="AL34" i="11"/>
  <c r="B34" i="11"/>
  <c r="AN33" i="11"/>
  <c r="AM33" i="11"/>
  <c r="AL33" i="11"/>
  <c r="AJ32" i="11"/>
  <c r="AH32" i="11"/>
  <c r="AF32" i="11"/>
  <c r="AD32" i="11"/>
  <c r="AB32" i="11"/>
  <c r="Z32" i="11"/>
  <c r="X32" i="11"/>
  <c r="V32" i="11"/>
  <c r="T32" i="11"/>
  <c r="R32" i="11"/>
  <c r="P32" i="11"/>
  <c r="N32" i="11"/>
  <c r="L32" i="11"/>
  <c r="J32" i="11"/>
  <c r="H32" i="11"/>
  <c r="F32" i="11"/>
  <c r="D32" i="11"/>
  <c r="B32" i="11"/>
  <c r="AK31" i="11"/>
  <c r="AK32" i="11" s="1"/>
  <c r="AJ31" i="11"/>
  <c r="AI31" i="11"/>
  <c r="AH31" i="11"/>
  <c r="AG31" i="11"/>
  <c r="AG32" i="11" s="1"/>
  <c r="AF31" i="11"/>
  <c r="AE31" i="11"/>
  <c r="AD31" i="11"/>
  <c r="AC31" i="11"/>
  <c r="AC32" i="11" s="1"/>
  <c r="AB31" i="11"/>
  <c r="AA31" i="11"/>
  <c r="Z31" i="11"/>
  <c r="Y31" i="11"/>
  <c r="Y32" i="11" s="1"/>
  <c r="X31" i="11"/>
  <c r="X36" i="11" s="1"/>
  <c r="X37" i="11" s="1"/>
  <c r="W31" i="11"/>
  <c r="W36" i="11" s="1"/>
  <c r="W37" i="11" s="1"/>
  <c r="V31" i="11"/>
  <c r="V36" i="11" s="1"/>
  <c r="V37" i="11" s="1"/>
  <c r="U31" i="11"/>
  <c r="U32" i="11" s="1"/>
  <c r="T31" i="11"/>
  <c r="T36" i="11" s="1"/>
  <c r="T37" i="11" s="1"/>
  <c r="S31" i="11"/>
  <c r="S36" i="11" s="1"/>
  <c r="S37" i="11" s="1"/>
  <c r="R31" i="11"/>
  <c r="R36" i="11" s="1"/>
  <c r="R37" i="11" s="1"/>
  <c r="Q31" i="11"/>
  <c r="Q32" i="11" s="1"/>
  <c r="P31" i="11"/>
  <c r="P36" i="11" s="1"/>
  <c r="P37" i="11" s="1"/>
  <c r="O31" i="11"/>
  <c r="O36" i="11" s="1"/>
  <c r="O37" i="11" s="1"/>
  <c r="N31" i="11"/>
  <c r="N36" i="11" s="1"/>
  <c r="M31" i="11"/>
  <c r="M32" i="11" s="1"/>
  <c r="L31" i="11"/>
  <c r="L36" i="11" s="1"/>
  <c r="L37" i="11" s="1"/>
  <c r="K31" i="11"/>
  <c r="K36" i="11" s="1"/>
  <c r="K37" i="11" s="1"/>
  <c r="J31" i="11"/>
  <c r="J36" i="11" s="1"/>
  <c r="J37" i="11" s="1"/>
  <c r="I31" i="11"/>
  <c r="I32" i="11" s="1"/>
  <c r="H31" i="11"/>
  <c r="H36" i="11" s="1"/>
  <c r="H37" i="11" s="1"/>
  <c r="G31" i="11"/>
  <c r="G36" i="11" s="1"/>
  <c r="G37" i="11" s="1"/>
  <c r="F31" i="11"/>
  <c r="F36" i="11" s="1"/>
  <c r="F37" i="11" s="1"/>
  <c r="E31" i="11"/>
  <c r="E32" i="11" s="1"/>
  <c r="D31" i="11"/>
  <c r="D36" i="11" s="1"/>
  <c r="D37" i="11" s="1"/>
  <c r="C31" i="11"/>
  <c r="C36" i="11" s="1"/>
  <c r="AN30" i="11"/>
  <c r="AM30" i="11"/>
  <c r="AL30" i="11"/>
  <c r="AN29" i="11"/>
  <c r="AM29" i="11"/>
  <c r="AL29" i="11"/>
  <c r="AN28" i="11"/>
  <c r="AM28" i="11"/>
  <c r="AL28" i="11"/>
  <c r="B28" i="11"/>
  <c r="B31" i="11" s="1"/>
  <c r="B36" i="11" s="1"/>
  <c r="B37" i="11" s="1"/>
  <c r="V27" i="11"/>
  <c r="F27" i="11"/>
  <c r="X24" i="11"/>
  <c r="X25" i="11" s="1"/>
  <c r="P24" i="11"/>
  <c r="P25" i="11" s="1"/>
  <c r="H24" i="11"/>
  <c r="H25" i="11" s="1"/>
  <c r="AN23" i="11"/>
  <c r="AM23" i="11"/>
  <c r="AL23" i="11"/>
  <c r="AN22" i="11"/>
  <c r="AM22" i="11"/>
  <c r="AL22" i="11"/>
  <c r="B22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X20" i="11"/>
  <c r="P20" i="11"/>
  <c r="H20" i="11"/>
  <c r="W19" i="11"/>
  <c r="S19" i="11"/>
  <c r="O19" i="11"/>
  <c r="K19" i="11"/>
  <c r="G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AN18" i="11" s="1"/>
  <c r="Y18" i="11"/>
  <c r="X18" i="11"/>
  <c r="W18" i="11"/>
  <c r="V18" i="11"/>
  <c r="U18" i="11"/>
  <c r="T18" i="11"/>
  <c r="S18" i="11"/>
  <c r="R18" i="11"/>
  <c r="Q18" i="11"/>
  <c r="P18" i="11"/>
  <c r="O18" i="11"/>
  <c r="N18" i="11"/>
  <c r="AM18" i="11" s="1"/>
  <c r="M18" i="11"/>
  <c r="L18" i="11"/>
  <c r="K18" i="11"/>
  <c r="J18" i="11"/>
  <c r="I18" i="11"/>
  <c r="H18" i="11"/>
  <c r="G18" i="11"/>
  <c r="F18" i="11"/>
  <c r="AL18" i="11" s="1"/>
  <c r="E18" i="11"/>
  <c r="D18" i="11"/>
  <c r="C18" i="11"/>
  <c r="B18" i="11"/>
  <c r="Y17" i="11"/>
  <c r="Y19" i="11" s="1"/>
  <c r="X17" i="11"/>
  <c r="X19" i="11" s="1"/>
  <c r="W17" i="11"/>
  <c r="V17" i="11"/>
  <c r="U17" i="11"/>
  <c r="U19" i="11" s="1"/>
  <c r="T17" i="11"/>
  <c r="T19" i="11" s="1"/>
  <c r="T24" i="11" s="1"/>
  <c r="T25" i="11" s="1"/>
  <c r="S17" i="11"/>
  <c r="R17" i="11"/>
  <c r="Q17" i="11"/>
  <c r="Q19" i="11" s="1"/>
  <c r="P17" i="11"/>
  <c r="P19" i="11" s="1"/>
  <c r="O17" i="11"/>
  <c r="N17" i="11"/>
  <c r="M17" i="11"/>
  <c r="M19" i="11" s="1"/>
  <c r="L17" i="11"/>
  <c r="L19" i="11" s="1"/>
  <c r="L24" i="11" s="1"/>
  <c r="L25" i="11" s="1"/>
  <c r="K17" i="11"/>
  <c r="J17" i="11"/>
  <c r="I17" i="11"/>
  <c r="I19" i="11" s="1"/>
  <c r="H17" i="11"/>
  <c r="H19" i="11" s="1"/>
  <c r="G17" i="11"/>
  <c r="F17" i="11"/>
  <c r="E17" i="11"/>
  <c r="E19" i="11" s="1"/>
  <c r="D17" i="11"/>
  <c r="D19" i="11" s="1"/>
  <c r="D24" i="11" s="1"/>
  <c r="D25" i="11" s="1"/>
  <c r="C17" i="11"/>
  <c r="B17" i="11"/>
  <c r="AN16" i="11"/>
  <c r="AM16" i="11"/>
  <c r="AL16" i="11"/>
  <c r="B16" i="11"/>
  <c r="AN15" i="11"/>
  <c r="AM15" i="11"/>
  <c r="AL15" i="11"/>
  <c r="AN14" i="11"/>
  <c r="AM14" i="11"/>
  <c r="AL14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AM11" i="11" s="1"/>
  <c r="M11" i="11"/>
  <c r="L11" i="11"/>
  <c r="K11" i="11"/>
  <c r="J11" i="11"/>
  <c r="I11" i="11"/>
  <c r="H11" i="11"/>
  <c r="G11" i="11"/>
  <c r="F11" i="11"/>
  <c r="E11" i="11"/>
  <c r="D11" i="11"/>
  <c r="AL11" i="11" s="1"/>
  <c r="C11" i="11"/>
  <c r="B11" i="11"/>
  <c r="AN10" i="11"/>
  <c r="AM10" i="11"/>
  <c r="AL10" i="11"/>
  <c r="B10" i="11"/>
  <c r="Y9" i="11"/>
  <c r="Y27" i="11" s="1"/>
  <c r="X9" i="11"/>
  <c r="X27" i="11" s="1"/>
  <c r="W9" i="11"/>
  <c r="W27" i="11" s="1"/>
  <c r="V9" i="11"/>
  <c r="U9" i="11"/>
  <c r="U27" i="11" s="1"/>
  <c r="T9" i="11"/>
  <c r="T27" i="11" s="1"/>
  <c r="S9" i="11"/>
  <c r="S27" i="11" s="1"/>
  <c r="R9" i="11"/>
  <c r="R27" i="11" s="1"/>
  <c r="Q9" i="11"/>
  <c r="Q27" i="11" s="1"/>
  <c r="P9" i="11"/>
  <c r="P27" i="11" s="1"/>
  <c r="O9" i="11"/>
  <c r="O27" i="11" s="1"/>
  <c r="N9" i="11"/>
  <c r="N27" i="11" s="1"/>
  <c r="AM27" i="11" s="1"/>
  <c r="M9" i="11"/>
  <c r="M27" i="11" s="1"/>
  <c r="L9" i="11"/>
  <c r="L27" i="11" s="1"/>
  <c r="K9" i="11"/>
  <c r="K27" i="11" s="1"/>
  <c r="J9" i="11"/>
  <c r="J27" i="11" s="1"/>
  <c r="I9" i="11"/>
  <c r="I27" i="11" s="1"/>
  <c r="H9" i="11"/>
  <c r="H27" i="11" s="1"/>
  <c r="G9" i="11"/>
  <c r="G27" i="11" s="1"/>
  <c r="F9" i="11"/>
  <c r="E9" i="11"/>
  <c r="E27" i="11" s="1"/>
  <c r="D9" i="11"/>
  <c r="D27" i="11" s="1"/>
  <c r="C9" i="11"/>
  <c r="C27" i="11" s="1"/>
  <c r="AL27" i="11" s="1"/>
  <c r="B9" i="11"/>
  <c r="Y7" i="11"/>
  <c r="Y8" i="11" s="1"/>
  <c r="U7" i="11"/>
  <c r="U12" i="11" s="1"/>
  <c r="U13" i="11" s="1"/>
  <c r="Q7" i="11"/>
  <c r="Q12" i="11" s="1"/>
  <c r="Q13" i="11" s="1"/>
  <c r="M7" i="11"/>
  <c r="M12" i="11" s="1"/>
  <c r="M13" i="11" s="1"/>
  <c r="I7" i="11"/>
  <c r="I8" i="11" s="1"/>
  <c r="E7" i="11"/>
  <c r="E12" i="11" s="1"/>
  <c r="E13" i="11" s="1"/>
  <c r="AK6" i="11"/>
  <c r="AJ6" i="11"/>
  <c r="AI6" i="11"/>
  <c r="AH6" i="11"/>
  <c r="AG6" i="11"/>
  <c r="AF6" i="11"/>
  <c r="AE6" i="11"/>
  <c r="AD6" i="11"/>
  <c r="AC6" i="11"/>
  <c r="AB6" i="11"/>
  <c r="AN6" i="11" s="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AM6" i="11" s="1"/>
  <c r="M6" i="11"/>
  <c r="L6" i="11"/>
  <c r="K6" i="11"/>
  <c r="J6" i="11"/>
  <c r="I6" i="11"/>
  <c r="H6" i="11"/>
  <c r="G6" i="11"/>
  <c r="F6" i="11"/>
  <c r="E6" i="11"/>
  <c r="D6" i="11"/>
  <c r="AL6" i="11" s="1"/>
  <c r="C6" i="11"/>
  <c r="B6" i="11"/>
  <c r="Y5" i="11"/>
  <c r="X5" i="11"/>
  <c r="X7" i="11" s="1"/>
  <c r="W5" i="11"/>
  <c r="W7" i="11" s="1"/>
  <c r="V5" i="11"/>
  <c r="V7" i="11" s="1"/>
  <c r="U5" i="11"/>
  <c r="T5" i="11"/>
  <c r="T7" i="11" s="1"/>
  <c r="S5" i="11"/>
  <c r="S7" i="11" s="1"/>
  <c r="R5" i="11"/>
  <c r="R7" i="11" s="1"/>
  <c r="Q5" i="11"/>
  <c r="P5" i="11"/>
  <c r="P7" i="11" s="1"/>
  <c r="O5" i="11"/>
  <c r="AM5" i="11" s="1"/>
  <c r="N5" i="11"/>
  <c r="N7" i="11" s="1"/>
  <c r="M5" i="11"/>
  <c r="L5" i="11"/>
  <c r="L7" i="11" s="1"/>
  <c r="K5" i="11"/>
  <c r="K7" i="11" s="1"/>
  <c r="J5" i="11"/>
  <c r="J7" i="11" s="1"/>
  <c r="I5" i="11"/>
  <c r="H5" i="11"/>
  <c r="H7" i="11" s="1"/>
  <c r="G5" i="11"/>
  <c r="G7" i="11" s="1"/>
  <c r="F5" i="11"/>
  <c r="F7" i="11" s="1"/>
  <c r="E5" i="11"/>
  <c r="D5" i="11"/>
  <c r="D7" i="11" s="1"/>
  <c r="C5" i="11"/>
  <c r="AL5" i="11" s="1"/>
  <c r="B5" i="11"/>
  <c r="B4" i="11"/>
  <c r="B7" i="11" s="1"/>
  <c r="B2" i="11"/>
  <c r="B12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L9" i="7" s="1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Y4" i="7"/>
  <c r="Y13" i="7" s="1"/>
  <c r="X4" i="7"/>
  <c r="W4" i="7"/>
  <c r="W7" i="7" s="1"/>
  <c r="W8" i="7" s="1"/>
  <c r="V4" i="7"/>
  <c r="V13" i="7" s="1"/>
  <c r="U4" i="7"/>
  <c r="U13" i="7" s="1"/>
  <c r="T4" i="7"/>
  <c r="S4" i="7"/>
  <c r="S7" i="7" s="1"/>
  <c r="S8" i="7" s="1"/>
  <c r="R4" i="7"/>
  <c r="R13" i="7" s="1"/>
  <c r="Q4" i="7"/>
  <c r="Q13" i="7" s="1"/>
  <c r="P4" i="7"/>
  <c r="O4" i="7"/>
  <c r="O7" i="7" s="1"/>
  <c r="O8" i="7" s="1"/>
  <c r="N4" i="7"/>
  <c r="N13" i="7" s="1"/>
  <c r="M4" i="7"/>
  <c r="M13" i="7" s="1"/>
  <c r="L4" i="7"/>
  <c r="K4" i="7"/>
  <c r="K7" i="7" s="1"/>
  <c r="K8" i="7" s="1"/>
  <c r="J4" i="7"/>
  <c r="J13" i="7" s="1"/>
  <c r="I4" i="7"/>
  <c r="H4" i="7"/>
  <c r="G4" i="7"/>
  <c r="G7" i="7" s="1"/>
  <c r="G8" i="7" s="1"/>
  <c r="F4" i="7"/>
  <c r="F13" i="7" s="1"/>
  <c r="E4" i="7"/>
  <c r="D4" i="7"/>
  <c r="C4" i="7"/>
  <c r="C7" i="7" s="1"/>
  <c r="C8" i="7" s="1"/>
  <c r="B4" i="7"/>
  <c r="B2" i="7"/>
  <c r="B2" i="6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E8" i="5"/>
  <c r="D8" i="5"/>
  <c r="C8" i="5"/>
  <c r="F8" i="5" s="1"/>
  <c r="C13" i="5" s="1"/>
  <c r="H7" i="5"/>
  <c r="F7" i="5"/>
  <c r="C12" i="5" s="1"/>
  <c r="E12" i="5" s="1"/>
  <c r="E7" i="5"/>
  <c r="C7" i="5"/>
  <c r="H6" i="5"/>
  <c r="C6" i="5"/>
  <c r="H5" i="5"/>
  <c r="D5" i="5"/>
  <c r="C5" i="5"/>
  <c r="H4" i="5"/>
  <c r="E4" i="5"/>
  <c r="D4" i="5"/>
  <c r="C4" i="5"/>
  <c r="B2" i="5"/>
  <c r="G63" i="4"/>
  <c r="F63" i="4"/>
  <c r="E63" i="4"/>
  <c r="D63" i="4"/>
  <c r="G62" i="4"/>
  <c r="H62" i="4" s="1"/>
  <c r="F62" i="4"/>
  <c r="D62" i="4"/>
  <c r="E62" i="4" s="1"/>
  <c r="G61" i="4"/>
  <c r="F61" i="4"/>
  <c r="D61" i="4"/>
  <c r="G60" i="4"/>
  <c r="F60" i="4"/>
  <c r="D60" i="4"/>
  <c r="G59" i="4"/>
  <c r="F59" i="4"/>
  <c r="E59" i="4"/>
  <c r="D59" i="4"/>
  <c r="G58" i="4"/>
  <c r="H58" i="4" s="1"/>
  <c r="F58" i="4"/>
  <c r="D58" i="4"/>
  <c r="E58" i="4" s="1"/>
  <c r="G57" i="4"/>
  <c r="F57" i="4"/>
  <c r="D57" i="4"/>
  <c r="G56" i="4"/>
  <c r="F56" i="4"/>
  <c r="D56" i="4"/>
  <c r="G55" i="4"/>
  <c r="F55" i="4"/>
  <c r="E55" i="4"/>
  <c r="D55" i="4"/>
  <c r="G54" i="4"/>
  <c r="H54" i="4" s="1"/>
  <c r="F54" i="4"/>
  <c r="D54" i="4"/>
  <c r="E54" i="4" s="1"/>
  <c r="G53" i="4"/>
  <c r="F53" i="4"/>
  <c r="D53" i="4"/>
  <c r="G52" i="4"/>
  <c r="F52" i="4"/>
  <c r="D52" i="4"/>
  <c r="G51" i="4"/>
  <c r="F51" i="4"/>
  <c r="E51" i="4"/>
  <c r="D51" i="4"/>
  <c r="G50" i="4"/>
  <c r="H50" i="4" s="1"/>
  <c r="F50" i="4"/>
  <c r="D50" i="4"/>
  <c r="E50" i="4" s="1"/>
  <c r="G49" i="4"/>
  <c r="F49" i="4"/>
  <c r="D49" i="4"/>
  <c r="G48" i="4"/>
  <c r="F48" i="4"/>
  <c r="D48" i="4"/>
  <c r="G47" i="4"/>
  <c r="F47" i="4"/>
  <c r="E47" i="4"/>
  <c r="D47" i="4"/>
  <c r="G46" i="4"/>
  <c r="H46" i="4" s="1"/>
  <c r="F46" i="4"/>
  <c r="D46" i="4"/>
  <c r="E46" i="4" s="1"/>
  <c r="G45" i="4"/>
  <c r="F45" i="4"/>
  <c r="D45" i="4"/>
  <c r="G44" i="4"/>
  <c r="F44" i="4"/>
  <c r="D44" i="4"/>
  <c r="E44" i="4" s="1"/>
  <c r="G43" i="4"/>
  <c r="F43" i="4"/>
  <c r="E43" i="4"/>
  <c r="D43" i="4"/>
  <c r="G42" i="4"/>
  <c r="H42" i="4" s="1"/>
  <c r="F42" i="4"/>
  <c r="D42" i="4"/>
  <c r="G41" i="4"/>
  <c r="F41" i="4"/>
  <c r="E41" i="4"/>
  <c r="D41" i="4"/>
  <c r="G40" i="4"/>
  <c r="F40" i="4"/>
  <c r="D40" i="4"/>
  <c r="E40" i="4" s="1"/>
  <c r="G39" i="4"/>
  <c r="F39" i="4"/>
  <c r="E39" i="4"/>
  <c r="D39" i="4"/>
  <c r="G38" i="4"/>
  <c r="H38" i="4" s="1"/>
  <c r="F38" i="4"/>
  <c r="D38" i="4"/>
  <c r="G37" i="4"/>
  <c r="F37" i="4"/>
  <c r="E37" i="4"/>
  <c r="D37" i="4"/>
  <c r="G36" i="4"/>
  <c r="F36" i="4"/>
  <c r="D36" i="4"/>
  <c r="E36" i="4" s="1"/>
  <c r="G35" i="4"/>
  <c r="F35" i="4"/>
  <c r="E35" i="4"/>
  <c r="D35" i="4"/>
  <c r="G34" i="4"/>
  <c r="H34" i="4" s="1"/>
  <c r="F34" i="4"/>
  <c r="D34" i="4"/>
  <c r="G33" i="4"/>
  <c r="F33" i="4"/>
  <c r="E33" i="4"/>
  <c r="D33" i="4"/>
  <c r="G32" i="4"/>
  <c r="F32" i="4"/>
  <c r="D32" i="4"/>
  <c r="E32" i="4" s="1"/>
  <c r="G31" i="4"/>
  <c r="F31" i="4"/>
  <c r="E31" i="4"/>
  <c r="D31" i="4"/>
  <c r="G30" i="4"/>
  <c r="H30" i="4" s="1"/>
  <c r="F30" i="4"/>
  <c r="D30" i="4"/>
  <c r="G29" i="4"/>
  <c r="F29" i="4"/>
  <c r="E29" i="4"/>
  <c r="D29" i="4"/>
  <c r="G28" i="4"/>
  <c r="F28" i="4"/>
  <c r="D28" i="4"/>
  <c r="E28" i="4" s="1"/>
  <c r="G27" i="4"/>
  <c r="F27" i="4"/>
  <c r="E27" i="4"/>
  <c r="D27" i="4"/>
  <c r="G26" i="4"/>
  <c r="H26" i="4" s="1"/>
  <c r="F26" i="4"/>
  <c r="D26" i="4"/>
  <c r="G25" i="4"/>
  <c r="F25" i="4"/>
  <c r="E25" i="4"/>
  <c r="D25" i="4"/>
  <c r="G24" i="4"/>
  <c r="F24" i="4"/>
  <c r="D24" i="4"/>
  <c r="E24" i="4" s="1"/>
  <c r="G23" i="4"/>
  <c r="F23" i="4"/>
  <c r="E23" i="4"/>
  <c r="D23" i="4"/>
  <c r="G22" i="4"/>
  <c r="H22" i="4" s="1"/>
  <c r="F22" i="4"/>
  <c r="D22" i="4"/>
  <c r="G21" i="4"/>
  <c r="F21" i="4"/>
  <c r="E21" i="4"/>
  <c r="D21" i="4"/>
  <c r="G20" i="4"/>
  <c r="F20" i="4"/>
  <c r="D20" i="4"/>
  <c r="E20" i="4" s="1"/>
  <c r="G19" i="4"/>
  <c r="F19" i="4"/>
  <c r="E19" i="4"/>
  <c r="D19" i="4"/>
  <c r="G18" i="4"/>
  <c r="H18" i="4" s="1"/>
  <c r="F18" i="4"/>
  <c r="D18" i="4"/>
  <c r="G17" i="4"/>
  <c r="F17" i="4"/>
  <c r="E17" i="4"/>
  <c r="D17" i="4"/>
  <c r="G16" i="4"/>
  <c r="F16" i="4"/>
  <c r="D16" i="4"/>
  <c r="E16" i="4" s="1"/>
  <c r="G15" i="4"/>
  <c r="F15" i="4"/>
  <c r="E15" i="4"/>
  <c r="D15" i="4"/>
  <c r="G14" i="4"/>
  <c r="H14" i="4" s="1"/>
  <c r="F14" i="4"/>
  <c r="D14" i="4"/>
  <c r="G13" i="4"/>
  <c r="F13" i="4"/>
  <c r="E13" i="4"/>
  <c r="D13" i="4"/>
  <c r="G12" i="4"/>
  <c r="F12" i="4"/>
  <c r="D12" i="4"/>
  <c r="E12" i="4" s="1"/>
  <c r="G11" i="4"/>
  <c r="F11" i="4"/>
  <c r="E11" i="4"/>
  <c r="D11" i="4"/>
  <c r="G10" i="4"/>
  <c r="H10" i="4" s="1"/>
  <c r="F10" i="4"/>
  <c r="D10" i="4"/>
  <c r="G9" i="4"/>
  <c r="F9" i="4"/>
  <c r="E9" i="4"/>
  <c r="D9" i="4"/>
  <c r="G8" i="4"/>
  <c r="F8" i="4"/>
  <c r="D8" i="4"/>
  <c r="E8" i="4" s="1"/>
  <c r="G7" i="4"/>
  <c r="F7" i="4"/>
  <c r="E7" i="4"/>
  <c r="D7" i="4"/>
  <c r="G6" i="4"/>
  <c r="H6" i="4" s="1"/>
  <c r="F6" i="4"/>
  <c r="D6" i="4"/>
  <c r="G5" i="4"/>
  <c r="F5" i="4"/>
  <c r="E5" i="4"/>
  <c r="D5" i="4"/>
  <c r="G4" i="4"/>
  <c r="F4" i="4"/>
  <c r="D4" i="4"/>
  <c r="E4" i="4" s="1"/>
  <c r="B2" i="4"/>
  <c r="B18" i="2"/>
  <c r="B10" i="2"/>
  <c r="D7" i="5" s="1"/>
  <c r="B9" i="2"/>
  <c r="B8" i="2"/>
  <c r="J62" i="5" s="1"/>
  <c r="B7" i="2"/>
  <c r="H36" i="4" s="1"/>
  <c r="B6" i="2"/>
  <c r="Q7" i="7" l="1"/>
  <c r="Q8" i="7" s="1"/>
  <c r="AM9" i="7"/>
  <c r="M7" i="7"/>
  <c r="M8" i="7" s="1"/>
  <c r="AL10" i="7"/>
  <c r="AM10" i="7"/>
  <c r="AL11" i="7"/>
  <c r="AM11" i="7"/>
  <c r="B13" i="7"/>
  <c r="E13" i="5"/>
  <c r="D13" i="5"/>
  <c r="F13" i="5" s="1"/>
  <c r="J11" i="5"/>
  <c r="J19" i="5"/>
  <c r="J31" i="5"/>
  <c r="D13" i="7"/>
  <c r="D7" i="7"/>
  <c r="D8" i="7" s="1"/>
  <c r="L13" i="7"/>
  <c r="L7" i="7"/>
  <c r="L8" i="7" s="1"/>
  <c r="T13" i="7"/>
  <c r="T7" i="7"/>
  <c r="T8" i="7" s="1"/>
  <c r="H4" i="4"/>
  <c r="H8" i="4"/>
  <c r="H24" i="4"/>
  <c r="H28" i="4"/>
  <c r="H32" i="4"/>
  <c r="H40" i="4"/>
  <c r="H45" i="4"/>
  <c r="H49" i="4"/>
  <c r="E13" i="7"/>
  <c r="E7" i="7"/>
  <c r="E8" i="7" s="1"/>
  <c r="B12" i="11"/>
  <c r="B13" i="11" s="1"/>
  <c r="B8" i="11"/>
  <c r="D6" i="5"/>
  <c r="F6" i="5" s="1"/>
  <c r="E6" i="5"/>
  <c r="J6" i="5"/>
  <c r="J15" i="5"/>
  <c r="J23" i="5"/>
  <c r="J27" i="5"/>
  <c r="J35" i="5"/>
  <c r="J47" i="5"/>
  <c r="J51" i="5"/>
  <c r="J59" i="5"/>
  <c r="P13" i="7"/>
  <c r="P7" i="7"/>
  <c r="P8" i="7" s="1"/>
  <c r="X13" i="7"/>
  <c r="X7" i="7"/>
  <c r="X8" i="7" s="1"/>
  <c r="H12" i="4"/>
  <c r="H16" i="4"/>
  <c r="H20" i="4"/>
  <c r="H53" i="4"/>
  <c r="H57" i="4"/>
  <c r="H61" i="4"/>
  <c r="D12" i="5"/>
  <c r="I13" i="7"/>
  <c r="I7" i="7"/>
  <c r="I8" i="7" s="1"/>
  <c r="E61" i="4"/>
  <c r="E57" i="4"/>
  <c r="E53" i="4"/>
  <c r="E49" i="4"/>
  <c r="E45" i="4"/>
  <c r="E6" i="4"/>
  <c r="E10" i="4"/>
  <c r="E14" i="4"/>
  <c r="E18" i="4"/>
  <c r="E22" i="4"/>
  <c r="E26" i="4"/>
  <c r="E30" i="4"/>
  <c r="E34" i="4"/>
  <c r="E38" i="4"/>
  <c r="E42" i="4"/>
  <c r="E48" i="4"/>
  <c r="E52" i="4"/>
  <c r="E56" i="4"/>
  <c r="E60" i="4"/>
  <c r="G7" i="5"/>
  <c r="J10" i="5"/>
  <c r="J14" i="5"/>
  <c r="J18" i="5"/>
  <c r="J22" i="5"/>
  <c r="J26" i="5"/>
  <c r="J30" i="5"/>
  <c r="J34" i="5"/>
  <c r="J38" i="5"/>
  <c r="J42" i="5"/>
  <c r="J46" i="5"/>
  <c r="J50" i="5"/>
  <c r="J54" i="5"/>
  <c r="J58" i="5"/>
  <c r="J63" i="5"/>
  <c r="J60" i="5"/>
  <c r="J56" i="5"/>
  <c r="J52" i="5"/>
  <c r="J48" i="5"/>
  <c r="J44" i="5"/>
  <c r="J40" i="5"/>
  <c r="J36" i="5"/>
  <c r="J32" i="5"/>
  <c r="J28" i="5"/>
  <c r="J24" i="5"/>
  <c r="J20" i="5"/>
  <c r="J16" i="5"/>
  <c r="J12" i="5"/>
  <c r="J8" i="5"/>
  <c r="J4" i="5"/>
  <c r="J61" i="5"/>
  <c r="J57" i="5"/>
  <c r="J53" i="5"/>
  <c r="J49" i="5"/>
  <c r="J45" i="5"/>
  <c r="J41" i="5"/>
  <c r="J37" i="5"/>
  <c r="J33" i="5"/>
  <c r="J29" i="5"/>
  <c r="J25" i="5"/>
  <c r="J21" i="5"/>
  <c r="J17" i="5"/>
  <c r="J13" i="5"/>
  <c r="J9" i="5"/>
  <c r="J5" i="5"/>
  <c r="F12" i="5"/>
  <c r="C17" i="5" s="1"/>
  <c r="G12" i="5"/>
  <c r="J39" i="5"/>
  <c r="J43" i="5"/>
  <c r="J55" i="5"/>
  <c r="H13" i="7"/>
  <c r="H7" i="7"/>
  <c r="H8" i="7" s="1"/>
  <c r="H60" i="4"/>
  <c r="H56" i="4"/>
  <c r="H52" i="4"/>
  <c r="H48" i="4"/>
  <c r="H44" i="4"/>
  <c r="H5" i="4"/>
  <c r="H7" i="4"/>
  <c r="H9" i="4"/>
  <c r="H11" i="4"/>
  <c r="H13" i="4"/>
  <c r="H15" i="4"/>
  <c r="H17" i="4"/>
  <c r="H19" i="4"/>
  <c r="H21" i="4"/>
  <c r="H23" i="4"/>
  <c r="H25" i="4"/>
  <c r="H27" i="4"/>
  <c r="H29" i="4"/>
  <c r="H31" i="4"/>
  <c r="H33" i="4"/>
  <c r="H35" i="4"/>
  <c r="H37" i="4"/>
  <c r="H39" i="4"/>
  <c r="H41" i="4"/>
  <c r="H43" i="4"/>
  <c r="H47" i="4"/>
  <c r="H51" i="4"/>
  <c r="H55" i="4"/>
  <c r="H59" i="4"/>
  <c r="H63" i="4"/>
  <c r="E5" i="5"/>
  <c r="F5" i="5"/>
  <c r="C10" i="5" s="1"/>
  <c r="J7" i="5"/>
  <c r="U7" i="7"/>
  <c r="U8" i="7" s="1"/>
  <c r="Y7" i="7"/>
  <c r="Y8" i="7" s="1"/>
  <c r="B8" i="14"/>
  <c r="D8" i="14" s="1"/>
  <c r="G8" i="5"/>
  <c r="D12" i="11"/>
  <c r="D13" i="11" s="1"/>
  <c r="D8" i="11"/>
  <c r="D26" i="11" s="1"/>
  <c r="H12" i="11"/>
  <c r="H13" i="11" s="1"/>
  <c r="H8" i="11"/>
  <c r="H26" i="11" s="1"/>
  <c r="L12" i="11"/>
  <c r="L13" i="11" s="1"/>
  <c r="L8" i="11"/>
  <c r="L26" i="11" s="1"/>
  <c r="P12" i="11"/>
  <c r="P13" i="11" s="1"/>
  <c r="P8" i="11"/>
  <c r="P26" i="11" s="1"/>
  <c r="T12" i="11"/>
  <c r="T13" i="11" s="1"/>
  <c r="T8" i="11"/>
  <c r="X12" i="11"/>
  <c r="X13" i="11" s="1"/>
  <c r="X8" i="11"/>
  <c r="X26" i="11" s="1"/>
  <c r="F12" i="11"/>
  <c r="F13" i="11" s="1"/>
  <c r="F8" i="11"/>
  <c r="J12" i="11"/>
  <c r="J13" i="11" s="1"/>
  <c r="J8" i="11"/>
  <c r="N12" i="11"/>
  <c r="N8" i="11"/>
  <c r="R12" i="11"/>
  <c r="R13" i="11" s="1"/>
  <c r="R8" i="11"/>
  <c r="V12" i="11"/>
  <c r="V13" i="11" s="1"/>
  <c r="V8" i="11"/>
  <c r="C49" i="11"/>
  <c r="AI47" i="11"/>
  <c r="AE47" i="11"/>
  <c r="AA47" i="11"/>
  <c r="AH47" i="11"/>
  <c r="AC47" i="11"/>
  <c r="AH35" i="11"/>
  <c r="AD35" i="11"/>
  <c r="Z35" i="11"/>
  <c r="AG47" i="11"/>
  <c r="AB47" i="11"/>
  <c r="AK35" i="11"/>
  <c r="AK36" i="11" s="1"/>
  <c r="AK37" i="11" s="1"/>
  <c r="AG35" i="11"/>
  <c r="AG36" i="11" s="1"/>
  <c r="AG37" i="11" s="1"/>
  <c r="AC35" i="11"/>
  <c r="AC36" i="11" s="1"/>
  <c r="AC37" i="11" s="1"/>
  <c r="AJ47" i="11"/>
  <c r="AD47" i="11"/>
  <c r="AI35" i="11"/>
  <c r="AI36" i="11" s="1"/>
  <c r="AI37" i="11" s="1"/>
  <c r="AE35" i="11"/>
  <c r="AA35" i="11"/>
  <c r="AF47" i="11"/>
  <c r="AF35" i="11"/>
  <c r="AF36" i="11" s="1"/>
  <c r="AF37" i="11" s="1"/>
  <c r="AK11" i="11"/>
  <c r="AG11" i="11"/>
  <c r="AC11" i="11"/>
  <c r="Z47" i="11"/>
  <c r="AB35" i="11"/>
  <c r="AJ11" i="11"/>
  <c r="AF11" i="11"/>
  <c r="AB11" i="11"/>
  <c r="AI11" i="11"/>
  <c r="AE11" i="11"/>
  <c r="AA11" i="11"/>
  <c r="AK47" i="11"/>
  <c r="AJ35" i="11"/>
  <c r="AJ36" i="11" s="1"/>
  <c r="AJ37" i="11" s="1"/>
  <c r="AH11" i="11"/>
  <c r="AD11" i="11"/>
  <c r="Z11" i="11"/>
  <c r="F4" i="5"/>
  <c r="C9" i="5" s="1"/>
  <c r="AL4" i="7"/>
  <c r="AL5" i="7"/>
  <c r="AM5" i="7"/>
  <c r="AL6" i="7"/>
  <c r="AM6" i="7"/>
  <c r="G8" i="11"/>
  <c r="G12" i="11"/>
  <c r="G13" i="11" s="1"/>
  <c r="K8" i="11"/>
  <c r="K26" i="11" s="1"/>
  <c r="K12" i="11"/>
  <c r="K13" i="11" s="1"/>
  <c r="S12" i="11"/>
  <c r="S13" i="11" s="1"/>
  <c r="S8" i="11"/>
  <c r="S26" i="11" s="1"/>
  <c r="W8" i="11"/>
  <c r="W26" i="11" s="1"/>
  <c r="W12" i="11"/>
  <c r="W13" i="11" s="1"/>
  <c r="Y26" i="11"/>
  <c r="AM4" i="7"/>
  <c r="C13" i="7"/>
  <c r="G13" i="7"/>
  <c r="K13" i="7"/>
  <c r="O13" i="7"/>
  <c r="S13" i="7"/>
  <c r="W13" i="7"/>
  <c r="C7" i="11"/>
  <c r="O7" i="11"/>
  <c r="I12" i="11"/>
  <c r="I13" i="11" s="1"/>
  <c r="Y12" i="11"/>
  <c r="Y13" i="11" s="1"/>
  <c r="AL17" i="11"/>
  <c r="G24" i="11"/>
  <c r="G25" i="11" s="1"/>
  <c r="G20" i="11"/>
  <c r="W24" i="11"/>
  <c r="W25" i="11" s="1"/>
  <c r="W20" i="11"/>
  <c r="AL21" i="11"/>
  <c r="AD36" i="11"/>
  <c r="AD37" i="11" s="1"/>
  <c r="AH36" i="11"/>
  <c r="AH37" i="11" s="1"/>
  <c r="M36" i="11"/>
  <c r="M37" i="11" s="1"/>
  <c r="AL41" i="11"/>
  <c r="G48" i="11"/>
  <c r="G49" i="11" s="1"/>
  <c r="G44" i="11"/>
  <c r="W48" i="11"/>
  <c r="W49" i="11" s="1"/>
  <c r="W44" i="11"/>
  <c r="P44" i="11"/>
  <c r="AL45" i="11"/>
  <c r="S48" i="11"/>
  <c r="S49" i="11" s="1"/>
  <c r="E8" i="11"/>
  <c r="E26" i="11" s="1"/>
  <c r="M8" i="11"/>
  <c r="Q8" i="11"/>
  <c r="U8" i="11"/>
  <c r="AL9" i="11"/>
  <c r="K24" i="11"/>
  <c r="K25" i="11" s="1"/>
  <c r="K20" i="11"/>
  <c r="D20" i="11"/>
  <c r="T20" i="11"/>
  <c r="C37" i="11"/>
  <c r="AA36" i="11"/>
  <c r="AA37" i="11" s="1"/>
  <c r="AE36" i="11"/>
  <c r="AE37" i="11" s="1"/>
  <c r="K48" i="11"/>
  <c r="K49" i="11" s="1"/>
  <c r="K44" i="11"/>
  <c r="D44" i="11"/>
  <c r="T44" i="11"/>
  <c r="Y48" i="11"/>
  <c r="Y49" i="11" s="1"/>
  <c r="B7" i="7"/>
  <c r="B8" i="7" s="1"/>
  <c r="F7" i="7"/>
  <c r="F8" i="7" s="1"/>
  <c r="J7" i="7"/>
  <c r="J8" i="7" s="1"/>
  <c r="N7" i="7"/>
  <c r="N8" i="7" s="1"/>
  <c r="R7" i="7"/>
  <c r="R8" i="7" s="1"/>
  <c r="V7" i="7"/>
  <c r="V8" i="7" s="1"/>
  <c r="AM9" i="11"/>
  <c r="E24" i="11"/>
  <c r="E25" i="11" s="1"/>
  <c r="E20" i="11"/>
  <c r="I24" i="11"/>
  <c r="I25" i="11" s="1"/>
  <c r="I20" i="11"/>
  <c r="I26" i="11" s="1"/>
  <c r="M24" i="11"/>
  <c r="M25" i="11" s="1"/>
  <c r="M20" i="11"/>
  <c r="Q24" i="11"/>
  <c r="Q25" i="11" s="1"/>
  <c r="Q20" i="11"/>
  <c r="U24" i="11"/>
  <c r="U25" i="11" s="1"/>
  <c r="U20" i="11"/>
  <c r="Y24" i="11"/>
  <c r="Y25" i="11" s="1"/>
  <c r="Y20" i="11"/>
  <c r="O24" i="11"/>
  <c r="O25" i="11" s="1"/>
  <c r="O20" i="11"/>
  <c r="AB36" i="11"/>
  <c r="AB37" i="11" s="1"/>
  <c r="AM37" i="11"/>
  <c r="E48" i="11"/>
  <c r="E49" i="11" s="1"/>
  <c r="E44" i="11"/>
  <c r="M44" i="11"/>
  <c r="M48" i="11"/>
  <c r="M49" i="11" s="1"/>
  <c r="Q48" i="11"/>
  <c r="Q49" i="11" s="1"/>
  <c r="Q44" i="11"/>
  <c r="U48" i="11"/>
  <c r="U49" i="11" s="1"/>
  <c r="U44" i="11"/>
  <c r="O48" i="11"/>
  <c r="O49" i="11" s="1"/>
  <c r="O44" i="11"/>
  <c r="I48" i="11"/>
  <c r="I49" i="11" s="1"/>
  <c r="B19" i="11"/>
  <c r="B20" i="11" s="1"/>
  <c r="F19" i="11"/>
  <c r="J19" i="11"/>
  <c r="AM17" i="11"/>
  <c r="R19" i="11"/>
  <c r="V19" i="11"/>
  <c r="C19" i="11"/>
  <c r="S24" i="11"/>
  <c r="S25" i="11" s="1"/>
  <c r="S20" i="11"/>
  <c r="L20" i="11"/>
  <c r="AM21" i="11"/>
  <c r="AL35" i="11"/>
  <c r="I36" i="11"/>
  <c r="I37" i="11" s="1"/>
  <c r="Y36" i="11"/>
  <c r="Y37" i="11" s="1"/>
  <c r="B43" i="11"/>
  <c r="F43" i="11"/>
  <c r="J43" i="11"/>
  <c r="AM41" i="11"/>
  <c r="R43" i="11"/>
  <c r="V43" i="11"/>
  <c r="C44" i="11"/>
  <c r="L44" i="11"/>
  <c r="AM45" i="11"/>
  <c r="AL47" i="11"/>
  <c r="N19" i="11"/>
  <c r="AN31" i="11"/>
  <c r="N43" i="11"/>
  <c r="E9" i="12"/>
  <c r="D9" i="12"/>
  <c r="F9" i="12" s="1"/>
  <c r="E11" i="12"/>
  <c r="D11" i="12"/>
  <c r="F11" i="12" s="1"/>
  <c r="AL31" i="11"/>
  <c r="C32" i="11"/>
  <c r="G32" i="11"/>
  <c r="K32" i="11"/>
  <c r="O32" i="11"/>
  <c r="S32" i="11"/>
  <c r="AM32" i="11" s="1"/>
  <c r="W32" i="11"/>
  <c r="AA32" i="11"/>
  <c r="AN32" i="11" s="1"/>
  <c r="AE32" i="11"/>
  <c r="AI32" i="11"/>
  <c r="AA60" i="11"/>
  <c r="AA61" i="11" s="1"/>
  <c r="AA56" i="11"/>
  <c r="AE60" i="11"/>
  <c r="AE61" i="11" s="1"/>
  <c r="AE56" i="11"/>
  <c r="AI60" i="11"/>
  <c r="AI61" i="11" s="1"/>
  <c r="AI56" i="11"/>
  <c r="AM31" i="11"/>
  <c r="G4" i="12"/>
  <c r="AC60" i="11"/>
  <c r="AC61" i="11" s="1"/>
  <c r="AG60" i="11"/>
  <c r="AG61" i="11" s="1"/>
  <c r="AK60" i="11"/>
  <c r="AK61" i="11" s="1"/>
  <c r="Z60" i="11"/>
  <c r="F5" i="12"/>
  <c r="C10" i="12" s="1"/>
  <c r="G6" i="12"/>
  <c r="D7" i="12"/>
  <c r="F7" i="12" s="1"/>
  <c r="G8" i="12"/>
  <c r="E7" i="12"/>
  <c r="E8" i="12"/>
  <c r="F8" i="12" s="1"/>
  <c r="C13" i="12" s="1"/>
  <c r="C18" i="5" l="1"/>
  <c r="G13" i="5"/>
  <c r="C14" i="12"/>
  <c r="G9" i="12"/>
  <c r="C12" i="12"/>
  <c r="G7" i="12"/>
  <c r="C16" i="12"/>
  <c r="G11" i="12"/>
  <c r="C11" i="5"/>
  <c r="G6" i="5"/>
  <c r="V48" i="11"/>
  <c r="V49" i="11" s="1"/>
  <c r="V44" i="11"/>
  <c r="E9" i="5"/>
  <c r="D9" i="5"/>
  <c r="F9" i="5" s="1"/>
  <c r="Z45" i="11"/>
  <c r="K7" i="5"/>
  <c r="Z41" i="11" s="1"/>
  <c r="I7" i="5"/>
  <c r="C7" i="4" s="1"/>
  <c r="I7" i="4" s="1"/>
  <c r="F10" i="12"/>
  <c r="C15" i="12" s="1"/>
  <c r="D10" i="12"/>
  <c r="E10" i="12"/>
  <c r="AL32" i="11"/>
  <c r="U26" i="11"/>
  <c r="C12" i="11"/>
  <c r="C8" i="11"/>
  <c r="AL7" i="11"/>
  <c r="AN11" i="11"/>
  <c r="AN47" i="11"/>
  <c r="R26" i="11"/>
  <c r="AM12" i="11"/>
  <c r="N13" i="11"/>
  <c r="AA45" i="11"/>
  <c r="K12" i="5"/>
  <c r="AA41" i="11" s="1"/>
  <c r="AA43" i="11" s="1"/>
  <c r="I12" i="5"/>
  <c r="C12" i="4" s="1"/>
  <c r="I12" i="4" s="1"/>
  <c r="N44" i="11"/>
  <c r="N48" i="11"/>
  <c r="AM43" i="11"/>
  <c r="F48" i="11"/>
  <c r="F49" i="11" s="1"/>
  <c r="AL49" i="11" s="1"/>
  <c r="F44" i="11"/>
  <c r="O8" i="11"/>
  <c r="O26" i="11" s="1"/>
  <c r="O12" i="11"/>
  <c r="O13" i="11" s="1"/>
  <c r="AM7" i="7"/>
  <c r="AM8" i="7" s="1"/>
  <c r="AM13" i="7"/>
  <c r="AM8" i="11"/>
  <c r="F26" i="11"/>
  <c r="D10" i="5"/>
  <c r="E10" i="5"/>
  <c r="F10" i="5"/>
  <c r="C15" i="5" s="1"/>
  <c r="G10" i="5"/>
  <c r="G5" i="12"/>
  <c r="B44" i="11"/>
  <c r="B48" i="11"/>
  <c r="B49" i="11" s="1"/>
  <c r="C24" i="11"/>
  <c r="C20" i="11"/>
  <c r="AL19" i="11"/>
  <c r="J24" i="11"/>
  <c r="J25" i="11" s="1"/>
  <c r="J20" i="11"/>
  <c r="AN35" i="11"/>
  <c r="L8" i="12"/>
  <c r="H8" i="12"/>
  <c r="K8" i="12" s="1"/>
  <c r="N8" i="12"/>
  <c r="AN60" i="11"/>
  <c r="Z61" i="11"/>
  <c r="AN61" i="11" s="1"/>
  <c r="N24" i="11"/>
  <c r="N20" i="11"/>
  <c r="AM19" i="11"/>
  <c r="AL43" i="11"/>
  <c r="V24" i="11"/>
  <c r="V25" i="11" s="1"/>
  <c r="V20" i="11"/>
  <c r="F24" i="11"/>
  <c r="F25" i="11" s="1"/>
  <c r="F20" i="11"/>
  <c r="AL36" i="11"/>
  <c r="Q26" i="11"/>
  <c r="Z36" i="11"/>
  <c r="G26" i="11"/>
  <c r="J26" i="11"/>
  <c r="K8" i="5"/>
  <c r="I8" i="5"/>
  <c r="C8" i="4" s="1"/>
  <c r="I8" i="4" s="1"/>
  <c r="E17" i="5"/>
  <c r="F17" i="5"/>
  <c r="C22" i="5" s="1"/>
  <c r="D17" i="5"/>
  <c r="G5" i="5"/>
  <c r="L6" i="12"/>
  <c r="H6" i="12"/>
  <c r="K6" i="12" s="1"/>
  <c r="N6" i="12"/>
  <c r="T26" i="11"/>
  <c r="R44" i="11"/>
  <c r="R48" i="11"/>
  <c r="R49" i="11" s="1"/>
  <c r="E13" i="12"/>
  <c r="F13" i="12" s="1"/>
  <c r="D13" i="12"/>
  <c r="N4" i="12"/>
  <c r="L4" i="12"/>
  <c r="H4" i="12"/>
  <c r="K4" i="12" s="1"/>
  <c r="AN56" i="11"/>
  <c r="J44" i="11"/>
  <c r="AL44" i="11" s="1"/>
  <c r="J48" i="11"/>
  <c r="J49" i="11" s="1"/>
  <c r="R24" i="11"/>
  <c r="R25" i="11" s="1"/>
  <c r="R20" i="11"/>
  <c r="AL37" i="11"/>
  <c r="M26" i="11"/>
  <c r="AM36" i="11"/>
  <c r="AL7" i="7"/>
  <c r="AL8" i="7" s="1"/>
  <c r="AL13" i="7"/>
  <c r="V26" i="11"/>
  <c r="AM7" i="11"/>
  <c r="G4" i="5"/>
  <c r="C14" i="5" l="1"/>
  <c r="G9" i="5"/>
  <c r="C18" i="12"/>
  <c r="G13" i="12"/>
  <c r="AM20" i="11"/>
  <c r="AA21" i="11"/>
  <c r="I10" i="5"/>
  <c r="C10" i="4" s="1"/>
  <c r="I10" i="4" s="1"/>
  <c r="K10" i="5"/>
  <c r="AA17" i="11" s="1"/>
  <c r="AA19" i="11" s="1"/>
  <c r="AL48" i="11"/>
  <c r="O8" i="12"/>
  <c r="M8" i="12"/>
  <c r="P8" i="12" s="1"/>
  <c r="Q8" i="12" s="1"/>
  <c r="D15" i="5"/>
  <c r="F15" i="5" s="1"/>
  <c r="E15" i="5"/>
  <c r="D22" i="5"/>
  <c r="E22" i="5"/>
  <c r="F22" i="5"/>
  <c r="C27" i="5" s="1"/>
  <c r="E15" i="12"/>
  <c r="F15" i="12" s="1"/>
  <c r="D15" i="12"/>
  <c r="N11" i="12"/>
  <c r="H11" i="12"/>
  <c r="K11" i="12" s="1"/>
  <c r="L11" i="12"/>
  <c r="AA48" i="11"/>
  <c r="AA49" i="11" s="1"/>
  <c r="AA44" i="11"/>
  <c r="C26" i="11"/>
  <c r="AL26" i="11" s="1"/>
  <c r="AL8" i="11"/>
  <c r="E14" i="12"/>
  <c r="D14" i="12"/>
  <c r="F14" i="12" s="1"/>
  <c r="Z9" i="11"/>
  <c r="B4" i="6"/>
  <c r="E4" i="6" s="1"/>
  <c r="Z10" i="7" s="1"/>
  <c r="K4" i="5"/>
  <c r="D4" i="6"/>
  <c r="I4" i="5"/>
  <c r="C4" i="4" s="1"/>
  <c r="I4" i="4" s="1"/>
  <c r="O4" i="12"/>
  <c r="M4" i="12"/>
  <c r="N26" i="11"/>
  <c r="AM26" i="11" s="1"/>
  <c r="N49" i="11"/>
  <c r="AM49" i="11" s="1"/>
  <c r="AM48" i="11"/>
  <c r="C13" i="11"/>
  <c r="AL13" i="11" s="1"/>
  <c r="AL12" i="11"/>
  <c r="G10" i="12"/>
  <c r="Z43" i="11"/>
  <c r="I6" i="5"/>
  <c r="C6" i="4" s="1"/>
  <c r="I6" i="4" s="1"/>
  <c r="K6" i="5"/>
  <c r="N7" i="12"/>
  <c r="L7" i="12"/>
  <c r="H7" i="12"/>
  <c r="K7" i="12" s="1"/>
  <c r="I13" i="5"/>
  <c r="C13" i="4" s="1"/>
  <c r="I13" i="4" s="1"/>
  <c r="K13" i="5"/>
  <c r="AL24" i="11"/>
  <c r="C25" i="11"/>
  <c r="AL25" i="11" s="1"/>
  <c r="N9" i="12"/>
  <c r="H9" i="12"/>
  <c r="K9" i="12" s="1"/>
  <c r="L9" i="12"/>
  <c r="Z21" i="11"/>
  <c r="I5" i="5"/>
  <c r="C5" i="4" s="1"/>
  <c r="I5" i="4" s="1"/>
  <c r="K5" i="5"/>
  <c r="Z17" i="11" s="1"/>
  <c r="AM24" i="11"/>
  <c r="N25" i="11"/>
  <c r="AM25" i="11" s="1"/>
  <c r="D16" i="12"/>
  <c r="F16" i="12" s="1"/>
  <c r="E16" i="12"/>
  <c r="P4" i="12"/>
  <c r="M6" i="12"/>
  <c r="P6" i="12" s="1"/>
  <c r="Q6" i="12" s="1"/>
  <c r="O6" i="12"/>
  <c r="G17" i="5"/>
  <c r="AN36" i="11"/>
  <c r="Z37" i="11"/>
  <c r="AN37" i="11" s="1"/>
  <c r="AL20" i="11"/>
  <c r="L5" i="12"/>
  <c r="H5" i="12"/>
  <c r="K5" i="12" s="1"/>
  <c r="N5" i="12"/>
  <c r="AM44" i="11"/>
  <c r="AM13" i="11"/>
  <c r="D11" i="5"/>
  <c r="F11" i="5" s="1"/>
  <c r="E11" i="5"/>
  <c r="D12" i="12"/>
  <c r="E12" i="12"/>
  <c r="F12" i="12" s="1"/>
  <c r="D18" i="5"/>
  <c r="E18" i="5"/>
  <c r="F18" i="5" s="1"/>
  <c r="C20" i="5" l="1"/>
  <c r="G15" i="5"/>
  <c r="C19" i="12"/>
  <c r="G14" i="12"/>
  <c r="C23" i="5"/>
  <c r="G18" i="5"/>
  <c r="C17" i="12"/>
  <c r="G12" i="12"/>
  <c r="C21" i="12"/>
  <c r="G16" i="12"/>
  <c r="C16" i="5"/>
  <c r="G11" i="5"/>
  <c r="D5" i="6" s="1"/>
  <c r="C20" i="12"/>
  <c r="G15" i="12"/>
  <c r="Z9" i="7"/>
  <c r="L13" i="12"/>
  <c r="H13" i="12"/>
  <c r="K13" i="12" s="1"/>
  <c r="N13" i="12"/>
  <c r="P9" i="12"/>
  <c r="Q9" i="12" s="1"/>
  <c r="Z5" i="11"/>
  <c r="H4" i="6"/>
  <c r="Z5" i="7" s="1"/>
  <c r="O11" i="12"/>
  <c r="P11" i="12" s="1"/>
  <c r="Q11" i="12" s="1"/>
  <c r="M11" i="12"/>
  <c r="E18" i="12"/>
  <c r="F18" i="12" s="1"/>
  <c r="D18" i="12"/>
  <c r="O7" i="12"/>
  <c r="M7" i="12"/>
  <c r="P7" i="12" s="1"/>
  <c r="O5" i="12"/>
  <c r="M5" i="12"/>
  <c r="Z19" i="11"/>
  <c r="M9" i="12"/>
  <c r="O9" i="12"/>
  <c r="Z44" i="11"/>
  <c r="Z48" i="11"/>
  <c r="AA9" i="11"/>
  <c r="I9" i="5"/>
  <c r="C9" i="4" s="1"/>
  <c r="I9" i="4" s="1"/>
  <c r="K9" i="5"/>
  <c r="B4" i="8"/>
  <c r="D27" i="5"/>
  <c r="F27" i="5" s="1"/>
  <c r="E27" i="5"/>
  <c r="P5" i="12"/>
  <c r="Q5" i="12" s="1"/>
  <c r="AB45" i="11"/>
  <c r="I17" i="5"/>
  <c r="C17" i="4" s="1"/>
  <c r="I17" i="4" s="1"/>
  <c r="K17" i="5"/>
  <c r="AB41" i="11" s="1"/>
  <c r="N10" i="12"/>
  <c r="L10" i="12"/>
  <c r="H10" i="12"/>
  <c r="K10" i="12" s="1"/>
  <c r="Q4" i="12"/>
  <c r="C4" i="6"/>
  <c r="Z63" i="11"/>
  <c r="Z27" i="11"/>
  <c r="G22" i="5"/>
  <c r="AA24" i="11"/>
  <c r="AA25" i="11" s="1"/>
  <c r="AA20" i="11"/>
  <c r="D14" i="5"/>
  <c r="F14" i="5" s="1"/>
  <c r="E14" i="5"/>
  <c r="AA9" i="7" l="1"/>
  <c r="C32" i="5"/>
  <c r="G27" i="5"/>
  <c r="C23" i="12"/>
  <c r="G18" i="12"/>
  <c r="C19" i="5"/>
  <c r="G14" i="5"/>
  <c r="Q7" i="12"/>
  <c r="F4" i="8"/>
  <c r="J4" i="8"/>
  <c r="L4" i="8" s="1"/>
  <c r="M4" i="8" s="1"/>
  <c r="L12" i="12"/>
  <c r="H12" i="12"/>
  <c r="K12" i="12" s="1"/>
  <c r="N12" i="12"/>
  <c r="AB43" i="11"/>
  <c r="Z24" i="11"/>
  <c r="Z20" i="11"/>
  <c r="F16" i="5"/>
  <c r="C21" i="5" s="1"/>
  <c r="E16" i="5"/>
  <c r="D16" i="5"/>
  <c r="E17" i="12"/>
  <c r="F17" i="12" s="1"/>
  <c r="D17" i="12"/>
  <c r="E19" i="12"/>
  <c r="D19" i="12"/>
  <c r="F19" i="12" s="1"/>
  <c r="N14" i="12"/>
  <c r="L14" i="12"/>
  <c r="H14" i="12"/>
  <c r="K14" i="12" s="1"/>
  <c r="O10" i="12"/>
  <c r="P10" i="12" s="1"/>
  <c r="Q10" i="12" s="1"/>
  <c r="M10" i="12"/>
  <c r="AA5" i="11"/>
  <c r="AA7" i="11" s="1"/>
  <c r="AA63" i="11"/>
  <c r="AA27" i="11"/>
  <c r="Z49" i="11"/>
  <c r="Z7" i="11"/>
  <c r="M13" i="12"/>
  <c r="O13" i="12"/>
  <c r="N15" i="12"/>
  <c r="H15" i="12"/>
  <c r="K15" i="12" s="1"/>
  <c r="L15" i="12"/>
  <c r="L16" i="12"/>
  <c r="H16" i="12"/>
  <c r="K16" i="12" s="1"/>
  <c r="N16" i="12"/>
  <c r="I18" i="5"/>
  <c r="C18" i="4" s="1"/>
  <c r="I18" i="4" s="1"/>
  <c r="K18" i="5"/>
  <c r="AB21" i="11"/>
  <c r="K15" i="5"/>
  <c r="AB17" i="11" s="1"/>
  <c r="I15" i="5"/>
  <c r="C15" i="4" s="1"/>
  <c r="I15" i="4" s="1"/>
  <c r="K11" i="5"/>
  <c r="H5" i="6" s="1"/>
  <c r="AA5" i="7" s="1"/>
  <c r="I11" i="5"/>
  <c r="C11" i="4" s="1"/>
  <c r="I11" i="4" s="1"/>
  <c r="C5" i="6" s="1"/>
  <c r="AC45" i="11"/>
  <c r="I22" i="5"/>
  <c r="C22" i="4" s="1"/>
  <c r="I22" i="4" s="1"/>
  <c r="K22" i="5"/>
  <c r="AC41" i="11" s="1"/>
  <c r="AC43" i="11" s="1"/>
  <c r="Z4" i="7"/>
  <c r="G4" i="6"/>
  <c r="Z6" i="7" s="1"/>
  <c r="F4" i="6"/>
  <c r="B5" i="6"/>
  <c r="E5" i="6" s="1"/>
  <c r="AA10" i="7" s="1"/>
  <c r="P13" i="12"/>
  <c r="Q13" i="12" s="1"/>
  <c r="D20" i="12"/>
  <c r="E20" i="12"/>
  <c r="F20" i="12" s="1"/>
  <c r="E21" i="12"/>
  <c r="D21" i="12"/>
  <c r="F21" i="12"/>
  <c r="C26" i="12" s="1"/>
  <c r="D23" i="5"/>
  <c r="E23" i="5"/>
  <c r="F23" i="5"/>
  <c r="C28" i="5" s="1"/>
  <c r="E20" i="5"/>
  <c r="D20" i="5"/>
  <c r="F20" i="5" s="1"/>
  <c r="G5" i="6" l="1"/>
  <c r="AA6" i="7" s="1"/>
  <c r="AA4" i="7"/>
  <c r="F5" i="6"/>
  <c r="C24" i="12"/>
  <c r="G19" i="12"/>
  <c r="C22" i="12"/>
  <c r="G17" i="12"/>
  <c r="C25" i="5"/>
  <c r="G20" i="5"/>
  <c r="C25" i="12"/>
  <c r="G20" i="12"/>
  <c r="E26" i="12"/>
  <c r="F26" i="12" s="1"/>
  <c r="D26" i="12"/>
  <c r="AB19" i="11"/>
  <c r="O15" i="12"/>
  <c r="M15" i="12"/>
  <c r="AA8" i="11"/>
  <c r="AA12" i="11"/>
  <c r="AA13" i="11" s="1"/>
  <c r="E21" i="5"/>
  <c r="F21" i="5"/>
  <c r="C26" i="5" s="1"/>
  <c r="G21" i="5"/>
  <c r="D21" i="5"/>
  <c r="E32" i="5"/>
  <c r="F32" i="5" s="1"/>
  <c r="D32" i="5"/>
  <c r="O16" i="12"/>
  <c r="M16" i="12"/>
  <c r="P16" i="12" s="1"/>
  <c r="Q16" i="12" s="1"/>
  <c r="N18" i="12"/>
  <c r="L18" i="12"/>
  <c r="H18" i="12"/>
  <c r="K18" i="12" s="1"/>
  <c r="C4" i="8"/>
  <c r="D4" i="8" s="1"/>
  <c r="E4" i="8" s="1"/>
  <c r="Z13" i="7"/>
  <c r="Z7" i="7"/>
  <c r="Z8" i="7" s="1"/>
  <c r="Z12" i="11"/>
  <c r="Z8" i="11"/>
  <c r="M14" i="12"/>
  <c r="P14" i="12" s="1"/>
  <c r="Q14" i="12" s="1"/>
  <c r="O14" i="12"/>
  <c r="Z25" i="11"/>
  <c r="O12" i="12"/>
  <c r="M12" i="12"/>
  <c r="P12" i="12" s="1"/>
  <c r="Q12" i="12" s="1"/>
  <c r="J5" i="8" s="1"/>
  <c r="L5" i="8" s="1"/>
  <c r="M5" i="8" s="1"/>
  <c r="B5" i="8"/>
  <c r="E23" i="12"/>
  <c r="F23" i="12" s="1"/>
  <c r="D23" i="12"/>
  <c r="E28" i="5"/>
  <c r="F28" i="5" s="1"/>
  <c r="D28" i="5"/>
  <c r="Z11" i="7"/>
  <c r="I4" i="6"/>
  <c r="G4" i="8" s="1"/>
  <c r="H4" i="8" s="1"/>
  <c r="I4" i="8" s="1"/>
  <c r="AB48" i="11"/>
  <c r="AB44" i="11"/>
  <c r="D19" i="5"/>
  <c r="F19" i="5" s="1"/>
  <c r="E19" i="5"/>
  <c r="G21" i="12"/>
  <c r="G23" i="5"/>
  <c r="AC44" i="11"/>
  <c r="AC48" i="11"/>
  <c r="AC49" i="11" s="1"/>
  <c r="P15" i="12"/>
  <c r="Q15" i="12" s="1"/>
  <c r="G16" i="5"/>
  <c r="AB9" i="11"/>
  <c r="B6" i="6"/>
  <c r="E6" i="6" s="1"/>
  <c r="AB10" i="7" s="1"/>
  <c r="I14" i="5"/>
  <c r="C14" i="4" s="1"/>
  <c r="I14" i="4" s="1"/>
  <c r="K14" i="5"/>
  <c r="AD45" i="11"/>
  <c r="K27" i="5"/>
  <c r="AD41" i="11" s="1"/>
  <c r="AD43" i="11" s="1"/>
  <c r="I27" i="5"/>
  <c r="C27" i="4" s="1"/>
  <c r="I27" i="4" s="1"/>
  <c r="C31" i="12" l="1"/>
  <c r="G26" i="12"/>
  <c r="C33" i="5"/>
  <c r="G28" i="5"/>
  <c r="C37" i="5"/>
  <c r="G32" i="5"/>
  <c r="C24" i="5"/>
  <c r="G19" i="5"/>
  <c r="C28" i="12"/>
  <c r="G23" i="12"/>
  <c r="AB49" i="11"/>
  <c r="E25" i="12"/>
  <c r="F25" i="12" s="1"/>
  <c r="D25" i="12"/>
  <c r="L21" i="12"/>
  <c r="H21" i="12"/>
  <c r="K21" i="12" s="1"/>
  <c r="N21" i="12"/>
  <c r="D26" i="5"/>
  <c r="F26" i="5" s="1"/>
  <c r="E26" i="5"/>
  <c r="AB24" i="11"/>
  <c r="AB20" i="11"/>
  <c r="AC21" i="11"/>
  <c r="K20" i="5"/>
  <c r="AC17" i="11" s="1"/>
  <c r="I20" i="5"/>
  <c r="C20" i="4" s="1"/>
  <c r="I20" i="4" s="1"/>
  <c r="E22" i="12"/>
  <c r="D22" i="12"/>
  <c r="F22" i="12" s="1"/>
  <c r="AA11" i="7"/>
  <c r="I5" i="6"/>
  <c r="G5" i="8" s="1"/>
  <c r="H5" i="8" s="1"/>
  <c r="I5" i="8" s="1"/>
  <c r="AD44" i="11"/>
  <c r="AD48" i="11"/>
  <c r="AD49" i="11" s="1"/>
  <c r="Z13" i="11"/>
  <c r="AA26" i="11"/>
  <c r="AA62" i="11"/>
  <c r="L17" i="12"/>
  <c r="H17" i="12"/>
  <c r="K17" i="12" s="1"/>
  <c r="N17" i="12"/>
  <c r="AB63" i="11"/>
  <c r="AB27" i="11"/>
  <c r="M18" i="12"/>
  <c r="O18" i="12"/>
  <c r="P18" i="12" s="1"/>
  <c r="Q18" i="12" s="1"/>
  <c r="E25" i="5"/>
  <c r="D25" i="5"/>
  <c r="F25" i="5" s="1"/>
  <c r="C5" i="8"/>
  <c r="D5" i="8" s="1"/>
  <c r="E5" i="8" s="1"/>
  <c r="AA7" i="7"/>
  <c r="AA8" i="7" s="1"/>
  <c r="AA13" i="7"/>
  <c r="I21" i="5"/>
  <c r="C21" i="4" s="1"/>
  <c r="I21" i="4" s="1"/>
  <c r="K21" i="5"/>
  <c r="D24" i="12"/>
  <c r="F24" i="12" s="1"/>
  <c r="E24" i="12"/>
  <c r="K16" i="5"/>
  <c r="I16" i="5"/>
  <c r="C16" i="4" s="1"/>
  <c r="I16" i="4" s="1"/>
  <c r="C6" i="6" s="1"/>
  <c r="D6" i="6"/>
  <c r="AB5" i="11"/>
  <c r="H6" i="6"/>
  <c r="AB5" i="7" s="1"/>
  <c r="K23" i="5"/>
  <c r="I23" i="5"/>
  <c r="C23" i="4" s="1"/>
  <c r="I23" i="4" s="1"/>
  <c r="Z26" i="11"/>
  <c r="Z62" i="11"/>
  <c r="L20" i="12"/>
  <c r="H20" i="12"/>
  <c r="K20" i="12" s="1"/>
  <c r="N20" i="12"/>
  <c r="N19" i="12"/>
  <c r="L19" i="12"/>
  <c r="H19" i="12"/>
  <c r="K19" i="12" s="1"/>
  <c r="C30" i="12" l="1"/>
  <c r="G25" i="12"/>
  <c r="C29" i="12"/>
  <c r="G24" i="12"/>
  <c r="G6" i="6"/>
  <c r="AB6" i="7" s="1"/>
  <c r="AB4" i="7"/>
  <c r="F6" i="6"/>
  <c r="AB11" i="7" s="1"/>
  <c r="C30" i="5"/>
  <c r="G25" i="5"/>
  <c r="C27" i="12"/>
  <c r="G22" i="12"/>
  <c r="C31" i="5"/>
  <c r="G26" i="5"/>
  <c r="O20" i="12"/>
  <c r="P20" i="12" s="1"/>
  <c r="Q20" i="12" s="1"/>
  <c r="M20" i="12"/>
  <c r="AC19" i="11"/>
  <c r="AB25" i="11"/>
  <c r="D28" i="12"/>
  <c r="F28" i="12"/>
  <c r="C33" i="12" s="1"/>
  <c r="G28" i="12"/>
  <c r="E28" i="12"/>
  <c r="AE45" i="11"/>
  <c r="K32" i="5"/>
  <c r="AE41" i="11" s="1"/>
  <c r="I32" i="5"/>
  <c r="C32" i="4" s="1"/>
  <c r="I32" i="4" s="1"/>
  <c r="E33" i="5"/>
  <c r="D33" i="5"/>
  <c r="F33" i="5" s="1"/>
  <c r="AB7" i="11"/>
  <c r="M17" i="12"/>
  <c r="P17" i="12" s="1"/>
  <c r="Q17" i="12" s="1"/>
  <c r="J6" i="8" s="1"/>
  <c r="L6" i="8" s="1"/>
  <c r="M6" i="8" s="1"/>
  <c r="O17" i="12"/>
  <c r="B6" i="8"/>
  <c r="AC9" i="11"/>
  <c r="D7" i="6"/>
  <c r="K19" i="5"/>
  <c r="B7" i="6"/>
  <c r="E7" i="6" s="1"/>
  <c r="AC10" i="7" s="1"/>
  <c r="I19" i="5"/>
  <c r="C19" i="4" s="1"/>
  <c r="I19" i="4" s="1"/>
  <c r="C7" i="6" s="1"/>
  <c r="E37" i="5"/>
  <c r="D37" i="5"/>
  <c r="F37" i="5" s="1"/>
  <c r="L26" i="12"/>
  <c r="H26" i="12"/>
  <c r="K26" i="12" s="1"/>
  <c r="N26" i="12"/>
  <c r="O19" i="12"/>
  <c r="P19" i="12" s="1"/>
  <c r="Q19" i="12" s="1"/>
  <c r="M19" i="12"/>
  <c r="N23" i="12"/>
  <c r="H23" i="12"/>
  <c r="K23" i="12" s="1"/>
  <c r="L23" i="12"/>
  <c r="K28" i="5"/>
  <c r="I28" i="5"/>
  <c r="C28" i="4" s="1"/>
  <c r="I28" i="4" s="1"/>
  <c r="AB9" i="7"/>
  <c r="I6" i="6"/>
  <c r="G6" i="8" s="1"/>
  <c r="H6" i="8" s="1"/>
  <c r="I6" i="8" s="1"/>
  <c r="M21" i="12"/>
  <c r="P21" i="12" s="1"/>
  <c r="Q21" i="12" s="1"/>
  <c r="O21" i="12"/>
  <c r="E24" i="5"/>
  <c r="F24" i="5" s="1"/>
  <c r="D24" i="5"/>
  <c r="E31" i="12"/>
  <c r="F31" i="12"/>
  <c r="C36" i="12" s="1"/>
  <c r="D31" i="12"/>
  <c r="C29" i="5" l="1"/>
  <c r="G24" i="5"/>
  <c r="C38" i="5"/>
  <c r="G33" i="5"/>
  <c r="C42" i="5"/>
  <c r="G37" i="5"/>
  <c r="L28" i="12"/>
  <c r="H28" i="12"/>
  <c r="K28" i="12" s="1"/>
  <c r="N28" i="12"/>
  <c r="AC63" i="11"/>
  <c r="AC27" i="11"/>
  <c r="AE43" i="11"/>
  <c r="O23" i="12"/>
  <c r="P23" i="12" s="1"/>
  <c r="Q23" i="12" s="1"/>
  <c r="M23" i="12"/>
  <c r="I26" i="5"/>
  <c r="C26" i="4" s="1"/>
  <c r="I26" i="4" s="1"/>
  <c r="K26" i="5"/>
  <c r="AD21" i="11"/>
  <c r="I25" i="5"/>
  <c r="C25" i="4" s="1"/>
  <c r="I25" i="4" s="1"/>
  <c r="K25" i="5"/>
  <c r="AD17" i="11" s="1"/>
  <c r="C6" i="8"/>
  <c r="D6" i="8" s="1"/>
  <c r="E6" i="8" s="1"/>
  <c r="AB13" i="7"/>
  <c r="AB7" i="7"/>
  <c r="AB8" i="7" s="1"/>
  <c r="L25" i="12"/>
  <c r="H25" i="12"/>
  <c r="K25" i="12" s="1"/>
  <c r="N25" i="12"/>
  <c r="D36" i="12"/>
  <c r="F36" i="12"/>
  <c r="C41" i="12" s="1"/>
  <c r="E36" i="12"/>
  <c r="AC9" i="7"/>
  <c r="N22" i="12"/>
  <c r="L22" i="12"/>
  <c r="H22" i="12"/>
  <c r="K22" i="12" s="1"/>
  <c r="L24" i="12"/>
  <c r="H24" i="12"/>
  <c r="K24" i="12" s="1"/>
  <c r="N24" i="12"/>
  <c r="G7" i="6"/>
  <c r="AC6" i="7" s="1"/>
  <c r="AC4" i="7"/>
  <c r="F7" i="6"/>
  <c r="AC11" i="7" s="1"/>
  <c r="E33" i="12"/>
  <c r="D33" i="12"/>
  <c r="G33" i="12"/>
  <c r="F33" i="12"/>
  <c r="C38" i="12" s="1"/>
  <c r="E27" i="12"/>
  <c r="F27" i="12"/>
  <c r="C32" i="12" s="1"/>
  <c r="D27" i="12"/>
  <c r="E29" i="12"/>
  <c r="F29" i="12"/>
  <c r="C34" i="12" s="1"/>
  <c r="D29" i="12"/>
  <c r="G31" i="12"/>
  <c r="O26" i="12"/>
  <c r="P26" i="12" s="1"/>
  <c r="Q26" i="12" s="1"/>
  <c r="M26" i="12"/>
  <c r="AC5" i="11"/>
  <c r="H7" i="6"/>
  <c r="AC5" i="7" s="1"/>
  <c r="AB12" i="11"/>
  <c r="AB8" i="11"/>
  <c r="AC24" i="11"/>
  <c r="AC20" i="11"/>
  <c r="D31" i="5"/>
  <c r="F31" i="5"/>
  <c r="C36" i="5" s="1"/>
  <c r="E31" i="5"/>
  <c r="D30" i="5"/>
  <c r="E30" i="5"/>
  <c r="F30" i="5"/>
  <c r="C35" i="5" s="1"/>
  <c r="D30" i="12"/>
  <c r="F30" i="12" s="1"/>
  <c r="E30" i="12"/>
  <c r="C35" i="12" l="1"/>
  <c r="G30" i="12"/>
  <c r="D35" i="5"/>
  <c r="E35" i="5"/>
  <c r="F35" i="5" s="1"/>
  <c r="L33" i="12"/>
  <c r="H33" i="12"/>
  <c r="K33" i="12" s="1"/>
  <c r="N33" i="12"/>
  <c r="D41" i="12"/>
  <c r="F41" i="12" s="1"/>
  <c r="E41" i="12"/>
  <c r="AE48" i="11"/>
  <c r="AE44" i="11"/>
  <c r="I33" i="5"/>
  <c r="C33" i="4" s="1"/>
  <c r="I33" i="4" s="1"/>
  <c r="K33" i="5"/>
  <c r="AC25" i="11"/>
  <c r="G29" i="12"/>
  <c r="G27" i="12"/>
  <c r="I7" i="6"/>
  <c r="G7" i="8" s="1"/>
  <c r="H7" i="8" s="1"/>
  <c r="I7" i="8" s="1"/>
  <c r="G36" i="12"/>
  <c r="P25" i="12"/>
  <c r="Q25" i="12" s="1"/>
  <c r="AD19" i="11"/>
  <c r="AF45" i="11"/>
  <c r="I37" i="5"/>
  <c r="C37" i="4" s="1"/>
  <c r="I37" i="4" s="1"/>
  <c r="K37" i="5"/>
  <c r="AF41" i="11" s="1"/>
  <c r="AF43" i="11" s="1"/>
  <c r="D38" i="5"/>
  <c r="E38" i="5"/>
  <c r="F38" i="5"/>
  <c r="C43" i="5" s="1"/>
  <c r="E34" i="12"/>
  <c r="D34" i="12"/>
  <c r="F34" i="12" s="1"/>
  <c r="C7" i="8"/>
  <c r="AC13" i="7"/>
  <c r="AC7" i="7"/>
  <c r="AC8" i="7" s="1"/>
  <c r="O24" i="12"/>
  <c r="M24" i="12"/>
  <c r="P24" i="12" s="1"/>
  <c r="Q24" i="12" s="1"/>
  <c r="M25" i="12"/>
  <c r="O25" i="12"/>
  <c r="G31" i="5"/>
  <c r="AC7" i="11"/>
  <c r="N31" i="12"/>
  <c r="H31" i="12"/>
  <c r="K31" i="12" s="1"/>
  <c r="L31" i="12"/>
  <c r="M22" i="12"/>
  <c r="O22" i="12"/>
  <c r="P22" i="12" s="1"/>
  <c r="Q22" i="12" s="1"/>
  <c r="J7" i="8" s="1"/>
  <c r="L7" i="8" s="1"/>
  <c r="M7" i="8" s="1"/>
  <c r="B7" i="8"/>
  <c r="Q28" i="12"/>
  <c r="O28" i="12"/>
  <c r="M28" i="12"/>
  <c r="D42" i="5"/>
  <c r="E42" i="5"/>
  <c r="F42" i="5" s="1"/>
  <c r="AD9" i="11"/>
  <c r="B8" i="6"/>
  <c r="E8" i="6" s="1"/>
  <c r="AD10" i="7" s="1"/>
  <c r="K24" i="5"/>
  <c r="I24" i="5"/>
  <c r="C24" i="4" s="1"/>
  <c r="I24" i="4" s="1"/>
  <c r="C8" i="6" s="1"/>
  <c r="D8" i="6"/>
  <c r="F36" i="5"/>
  <c r="C41" i="5" s="1"/>
  <c r="E36" i="5"/>
  <c r="D36" i="5"/>
  <c r="AB13" i="11"/>
  <c r="D32" i="12"/>
  <c r="F32" i="12"/>
  <c r="C37" i="12" s="1"/>
  <c r="E32" i="12"/>
  <c r="G30" i="5"/>
  <c r="AB26" i="11"/>
  <c r="AB62" i="11"/>
  <c r="E38" i="12"/>
  <c r="D38" i="12"/>
  <c r="F38" i="12" s="1"/>
  <c r="P28" i="12"/>
  <c r="E29" i="5"/>
  <c r="D29" i="5"/>
  <c r="F29" i="5" s="1"/>
  <c r="C39" i="12" l="1"/>
  <c r="G34" i="12"/>
  <c r="C46" i="12"/>
  <c r="G41" i="12"/>
  <c r="C34" i="5"/>
  <c r="G29" i="5"/>
  <c r="C47" i="5"/>
  <c r="G42" i="5"/>
  <c r="C40" i="5"/>
  <c r="G35" i="5"/>
  <c r="C43" i="12"/>
  <c r="G38" i="12"/>
  <c r="O31" i="12"/>
  <c r="M31" i="12"/>
  <c r="AE21" i="11"/>
  <c r="I30" i="5"/>
  <c r="C30" i="4" s="1"/>
  <c r="I30" i="4" s="1"/>
  <c r="K30" i="5"/>
  <c r="AE17" i="11" s="1"/>
  <c r="G32" i="12"/>
  <c r="AD9" i="7"/>
  <c r="I8" i="6"/>
  <c r="G8" i="8" s="1"/>
  <c r="H8" i="8" s="1"/>
  <c r="I8" i="8" s="1"/>
  <c r="AD63" i="11"/>
  <c r="AD27" i="11"/>
  <c r="L36" i="12"/>
  <c r="H36" i="12"/>
  <c r="K36" i="12" s="1"/>
  <c r="N36" i="12"/>
  <c r="N29" i="12"/>
  <c r="H29" i="12"/>
  <c r="K29" i="12" s="1"/>
  <c r="L29" i="12"/>
  <c r="M33" i="12"/>
  <c r="O33" i="12"/>
  <c r="P33" i="12" s="1"/>
  <c r="Q33" i="12" s="1"/>
  <c r="K31" i="5"/>
  <c r="I31" i="5"/>
  <c r="C31" i="4" s="1"/>
  <c r="I31" i="4" s="1"/>
  <c r="D43" i="5"/>
  <c r="F43" i="5" s="1"/>
  <c r="E43" i="5"/>
  <c r="N27" i="12"/>
  <c r="H27" i="12"/>
  <c r="K27" i="12" s="1"/>
  <c r="L27" i="12"/>
  <c r="AD4" i="7"/>
  <c r="G8" i="6"/>
  <c r="AD6" i="7" s="1"/>
  <c r="F8" i="6"/>
  <c r="AD11" i="7" s="1"/>
  <c r="D7" i="8"/>
  <c r="E7" i="8" s="1"/>
  <c r="N30" i="12"/>
  <c r="L30" i="12"/>
  <c r="H30" i="12"/>
  <c r="K30" i="12" s="1"/>
  <c r="E37" i="12"/>
  <c r="D37" i="12"/>
  <c r="F37" i="12" s="1"/>
  <c r="E41" i="5"/>
  <c r="F41" i="5"/>
  <c r="C46" i="5" s="1"/>
  <c r="D41" i="5"/>
  <c r="G36" i="5"/>
  <c r="AD5" i="11"/>
  <c r="H8" i="6"/>
  <c r="AD5" i="7" s="1"/>
  <c r="P31" i="12"/>
  <c r="Q31" i="12" s="1"/>
  <c r="AC12" i="11"/>
  <c r="AC8" i="11"/>
  <c r="G38" i="5"/>
  <c r="AF48" i="11"/>
  <c r="AF49" i="11" s="1"/>
  <c r="AF44" i="11"/>
  <c r="AD24" i="11"/>
  <c r="AD20" i="11"/>
  <c r="AE49" i="11"/>
  <c r="F35" i="12"/>
  <c r="C40" i="12" s="1"/>
  <c r="E35" i="12"/>
  <c r="D35" i="12"/>
  <c r="C42" i="12" l="1"/>
  <c r="G37" i="12"/>
  <c r="C48" i="5"/>
  <c r="G43" i="5"/>
  <c r="E40" i="12"/>
  <c r="D40" i="12"/>
  <c r="F40" i="12" s="1"/>
  <c r="AC13" i="11"/>
  <c r="K36" i="5"/>
  <c r="I36" i="5"/>
  <c r="C36" i="4" s="1"/>
  <c r="I36" i="4" s="1"/>
  <c r="D46" i="5"/>
  <c r="E46" i="5"/>
  <c r="F46" i="5"/>
  <c r="C51" i="5" s="1"/>
  <c r="G46" i="5"/>
  <c r="O27" i="12"/>
  <c r="M27" i="12"/>
  <c r="P27" i="12" s="1"/>
  <c r="Q27" i="12" s="1"/>
  <c r="J8" i="8" s="1"/>
  <c r="L8" i="8" s="1"/>
  <c r="M8" i="8" s="1"/>
  <c r="B8" i="8"/>
  <c r="M29" i="12"/>
  <c r="O29" i="12"/>
  <c r="P29" i="12" s="1"/>
  <c r="Q29" i="12" s="1"/>
  <c r="B9" i="8"/>
  <c r="G35" i="12"/>
  <c r="I38" i="5"/>
  <c r="C38" i="4" s="1"/>
  <c r="I38" i="4" s="1"/>
  <c r="K38" i="5"/>
  <c r="D47" i="5"/>
  <c r="E47" i="5"/>
  <c r="F47" i="5"/>
  <c r="C52" i="5" s="1"/>
  <c r="AD25" i="11"/>
  <c r="O30" i="12"/>
  <c r="M30" i="12"/>
  <c r="C8" i="8"/>
  <c r="AD13" i="7"/>
  <c r="AD7" i="7"/>
  <c r="AD8" i="7" s="1"/>
  <c r="L32" i="12"/>
  <c r="H32" i="12"/>
  <c r="K32" i="12" s="1"/>
  <c r="N32" i="12"/>
  <c r="AF21" i="11"/>
  <c r="K35" i="5"/>
  <c r="AF17" i="11" s="1"/>
  <c r="AF19" i="11" s="1"/>
  <c r="I35" i="5"/>
  <c r="C35" i="4" s="1"/>
  <c r="I35" i="4" s="1"/>
  <c r="AE9" i="11"/>
  <c r="D9" i="6"/>
  <c r="I29" i="5"/>
  <c r="C29" i="4" s="1"/>
  <c r="I29" i="4" s="1"/>
  <c r="C9" i="6" s="1"/>
  <c r="B9" i="6"/>
  <c r="E9" i="6" s="1"/>
  <c r="AE10" i="7" s="1"/>
  <c r="K29" i="5"/>
  <c r="E46" i="12"/>
  <c r="F46" i="12" s="1"/>
  <c r="D46" i="12"/>
  <c r="P36" i="12"/>
  <c r="E43" i="12"/>
  <c r="F43" i="12" s="1"/>
  <c r="D43" i="12"/>
  <c r="L41" i="12"/>
  <c r="H41" i="12"/>
  <c r="K41" i="12" s="1"/>
  <c r="N41" i="12"/>
  <c r="AC26" i="11"/>
  <c r="AC62" i="11"/>
  <c r="AD7" i="11"/>
  <c r="G41" i="5"/>
  <c r="P30" i="12"/>
  <c r="Q30" i="12" s="1"/>
  <c r="O36" i="12"/>
  <c r="Q36" i="12"/>
  <c r="M36" i="12"/>
  <c r="AE19" i="11"/>
  <c r="F40" i="5"/>
  <c r="C45" i="5" s="1"/>
  <c r="E40" i="5"/>
  <c r="D40" i="5"/>
  <c r="D34" i="5"/>
  <c r="F34" i="5" s="1"/>
  <c r="E34" i="5"/>
  <c r="N34" i="12"/>
  <c r="L34" i="12"/>
  <c r="H34" i="12"/>
  <c r="K34" i="12" s="1"/>
  <c r="N38" i="12"/>
  <c r="L38" i="12"/>
  <c r="H38" i="12"/>
  <c r="K38" i="12" s="1"/>
  <c r="AG45" i="11"/>
  <c r="I42" i="5"/>
  <c r="C42" i="4" s="1"/>
  <c r="I42" i="4" s="1"/>
  <c r="K42" i="5"/>
  <c r="AG41" i="11" s="1"/>
  <c r="AG43" i="11" s="1"/>
  <c r="D39" i="12"/>
  <c r="F39" i="12" s="1"/>
  <c r="E39" i="12"/>
  <c r="C39" i="5" l="1"/>
  <c r="G34" i="5"/>
  <c r="C51" i="12"/>
  <c r="G46" i="12"/>
  <c r="C44" i="12"/>
  <c r="G39" i="12"/>
  <c r="C48" i="12"/>
  <c r="G43" i="12"/>
  <c r="C45" i="12"/>
  <c r="G40" i="12"/>
  <c r="P38" i="12"/>
  <c r="I46" i="5"/>
  <c r="C46" i="4" s="1"/>
  <c r="I46" i="4" s="1"/>
  <c r="K46" i="5"/>
  <c r="K43" i="5"/>
  <c r="I43" i="5"/>
  <c r="C43" i="4" s="1"/>
  <c r="I43" i="4" s="1"/>
  <c r="I41" i="5"/>
  <c r="C41" i="4" s="1"/>
  <c r="I41" i="4" s="1"/>
  <c r="K41" i="5"/>
  <c r="O41" i="12"/>
  <c r="M41" i="12"/>
  <c r="P41" i="12" s="1"/>
  <c r="Q41" i="12" s="1"/>
  <c r="M34" i="12"/>
  <c r="O34" i="12"/>
  <c r="P34" i="12" s="1"/>
  <c r="Q34" i="12" s="1"/>
  <c r="AE24" i="11"/>
  <c r="AE20" i="11"/>
  <c r="O32" i="12"/>
  <c r="M32" i="12"/>
  <c r="P32" i="12" s="1"/>
  <c r="Q32" i="12" s="1"/>
  <c r="J9" i="8" s="1"/>
  <c r="L9" i="8" s="1"/>
  <c r="M9" i="8" s="1"/>
  <c r="D8" i="8"/>
  <c r="E8" i="8" s="1"/>
  <c r="L37" i="12"/>
  <c r="H37" i="12"/>
  <c r="K37" i="12" s="1"/>
  <c r="N37" i="12"/>
  <c r="AG48" i="11"/>
  <c r="AG49" i="11" s="1"/>
  <c r="AG44" i="11"/>
  <c r="E45" i="5"/>
  <c r="D45" i="5"/>
  <c r="F45" i="5" s="1"/>
  <c r="AE9" i="7"/>
  <c r="E52" i="5"/>
  <c r="F52" i="5" s="1"/>
  <c r="D52" i="5"/>
  <c r="AE5" i="11"/>
  <c r="AE7" i="11" s="1"/>
  <c r="H9" i="6"/>
  <c r="AE5" i="7" s="1"/>
  <c r="AE63" i="11"/>
  <c r="AE27" i="11"/>
  <c r="D51" i="5"/>
  <c r="E51" i="5"/>
  <c r="F51" i="5" s="1"/>
  <c r="F48" i="5"/>
  <c r="C53" i="5" s="1"/>
  <c r="E48" i="5"/>
  <c r="D48" i="5"/>
  <c r="Q38" i="12"/>
  <c r="M38" i="12"/>
  <c r="O38" i="12"/>
  <c r="G40" i="5"/>
  <c r="AD12" i="11"/>
  <c r="AD8" i="11"/>
  <c r="G9" i="6"/>
  <c r="AE6" i="7" s="1"/>
  <c r="AE4" i="7"/>
  <c r="F9" i="6"/>
  <c r="AE11" i="7" s="1"/>
  <c r="AF24" i="11"/>
  <c r="AF25" i="11" s="1"/>
  <c r="AF20" i="11"/>
  <c r="G47" i="5"/>
  <c r="N35" i="12"/>
  <c r="L35" i="12"/>
  <c r="H35" i="12"/>
  <c r="K35" i="12" s="1"/>
  <c r="E42" i="12"/>
  <c r="D42" i="12"/>
  <c r="F42" i="12" s="1"/>
  <c r="C50" i="5" l="1"/>
  <c r="G45" i="5"/>
  <c r="C57" i="5"/>
  <c r="G52" i="5"/>
  <c r="C47" i="12"/>
  <c r="G42" i="12"/>
  <c r="C56" i="5"/>
  <c r="G51" i="5"/>
  <c r="AG21" i="11"/>
  <c r="K40" i="5"/>
  <c r="AG17" i="11" s="1"/>
  <c r="AG19" i="11" s="1"/>
  <c r="I40" i="5"/>
  <c r="C40" i="4" s="1"/>
  <c r="I40" i="4" s="1"/>
  <c r="E53" i="5"/>
  <c r="F53" i="5"/>
  <c r="C58" i="5" s="1"/>
  <c r="G53" i="5"/>
  <c r="D53" i="5"/>
  <c r="M37" i="12"/>
  <c r="P37" i="12" s="1"/>
  <c r="Q37" i="12" s="1"/>
  <c r="O37" i="12"/>
  <c r="L46" i="12"/>
  <c r="H46" i="12"/>
  <c r="K46" i="12" s="1"/>
  <c r="N46" i="12"/>
  <c r="AE8" i="11"/>
  <c r="AE12" i="11"/>
  <c r="AE13" i="11" s="1"/>
  <c r="N40" i="12"/>
  <c r="H40" i="12"/>
  <c r="K40" i="12" s="1"/>
  <c r="L40" i="12"/>
  <c r="E51" i="12"/>
  <c r="D51" i="12"/>
  <c r="F51" i="12" s="1"/>
  <c r="AE25" i="11"/>
  <c r="D45" i="12"/>
  <c r="F45" i="12" s="1"/>
  <c r="E45" i="12"/>
  <c r="N39" i="12"/>
  <c r="L39" i="12"/>
  <c r="H39" i="12"/>
  <c r="K39" i="12" s="1"/>
  <c r="AF9" i="11"/>
  <c r="B10" i="6"/>
  <c r="E10" i="6" s="1"/>
  <c r="AF10" i="7" s="1"/>
  <c r="I34" i="5"/>
  <c r="C34" i="4" s="1"/>
  <c r="I34" i="4" s="1"/>
  <c r="C10" i="6" s="1"/>
  <c r="K34" i="5"/>
  <c r="D10" i="6"/>
  <c r="N43" i="12"/>
  <c r="H43" i="12"/>
  <c r="K43" i="12" s="1"/>
  <c r="L43" i="12"/>
  <c r="F48" i="12"/>
  <c r="C53" i="12" s="1"/>
  <c r="E48" i="12"/>
  <c r="D48" i="12"/>
  <c r="AH45" i="11"/>
  <c r="K47" i="5"/>
  <c r="AH41" i="11" s="1"/>
  <c r="AH43" i="11" s="1"/>
  <c r="I47" i="5"/>
  <c r="C47" i="4" s="1"/>
  <c r="I47" i="4" s="1"/>
  <c r="AD26" i="11"/>
  <c r="AD62" i="11"/>
  <c r="O35" i="12"/>
  <c r="M35" i="12"/>
  <c r="P35" i="12" s="1"/>
  <c r="Q35" i="12" s="1"/>
  <c r="C9" i="8"/>
  <c r="D9" i="8" s="1"/>
  <c r="E9" i="8" s="1"/>
  <c r="AE7" i="7"/>
  <c r="AE8" i="7" s="1"/>
  <c r="AE13" i="7"/>
  <c r="AD13" i="11"/>
  <c r="G48" i="5"/>
  <c r="I9" i="6"/>
  <c r="G9" i="8" s="1"/>
  <c r="H9" i="8" s="1"/>
  <c r="I9" i="8" s="1"/>
  <c r="B10" i="8"/>
  <c r="F44" i="12"/>
  <c r="C49" i="12" s="1"/>
  <c r="D44" i="12"/>
  <c r="E44" i="12"/>
  <c r="D39" i="5"/>
  <c r="F39" i="5" s="1"/>
  <c r="E39" i="5"/>
  <c r="J10" i="8" l="1"/>
  <c r="L10" i="8" s="1"/>
  <c r="M10" i="8" s="1"/>
  <c r="C56" i="12"/>
  <c r="G51" i="12"/>
  <c r="C44" i="5"/>
  <c r="G39" i="5"/>
  <c r="C50" i="12"/>
  <c r="G45" i="12"/>
  <c r="D49" i="12"/>
  <c r="F49" i="12" s="1"/>
  <c r="E49" i="12"/>
  <c r="M43" i="12"/>
  <c r="O43" i="12"/>
  <c r="AE26" i="11"/>
  <c r="AE62" i="11"/>
  <c r="I53" i="5"/>
  <c r="C53" i="4" s="1"/>
  <c r="I53" i="4" s="1"/>
  <c r="K53" i="5"/>
  <c r="K51" i="5"/>
  <c r="I51" i="5"/>
  <c r="C51" i="4" s="1"/>
  <c r="I51" i="4" s="1"/>
  <c r="G44" i="12"/>
  <c r="O40" i="12"/>
  <c r="M40" i="12"/>
  <c r="P40" i="12" s="1"/>
  <c r="Q40" i="12" s="1"/>
  <c r="D58" i="5"/>
  <c r="E58" i="5"/>
  <c r="F58" i="5"/>
  <c r="C63" i="5" s="1"/>
  <c r="E56" i="5"/>
  <c r="D56" i="5"/>
  <c r="F56" i="5" s="1"/>
  <c r="E57" i="5"/>
  <c r="D57" i="5"/>
  <c r="F57" i="5" s="1"/>
  <c r="AF9" i="7"/>
  <c r="AF63" i="11"/>
  <c r="AF27" i="11"/>
  <c r="M46" i="12"/>
  <c r="O46" i="12"/>
  <c r="L42" i="12"/>
  <c r="H42" i="12"/>
  <c r="K42" i="12" s="1"/>
  <c r="N42" i="12"/>
  <c r="AH21" i="11"/>
  <c r="I45" i="5"/>
  <c r="C45" i="4" s="1"/>
  <c r="I45" i="4" s="1"/>
  <c r="K45" i="5"/>
  <c r="AH17" i="11" s="1"/>
  <c r="AH19" i="11" s="1"/>
  <c r="K48" i="5"/>
  <c r="I48" i="5"/>
  <c r="C48" i="4" s="1"/>
  <c r="I48" i="4" s="1"/>
  <c r="AH44" i="11"/>
  <c r="AH48" i="11"/>
  <c r="AH49" i="11" s="1"/>
  <c r="D53" i="12"/>
  <c r="G53" i="12"/>
  <c r="F53" i="12"/>
  <c r="C58" i="12" s="1"/>
  <c r="E53" i="12"/>
  <c r="G10" i="6"/>
  <c r="AF6" i="7" s="1"/>
  <c r="F10" i="6"/>
  <c r="AF11" i="7" s="1"/>
  <c r="AF4" i="7"/>
  <c r="AG24" i="11"/>
  <c r="AG25" i="11" s="1"/>
  <c r="AG20" i="11"/>
  <c r="AI45" i="11"/>
  <c r="K52" i="5"/>
  <c r="AI41" i="11" s="1"/>
  <c r="AI43" i="11" s="1"/>
  <c r="I52" i="5"/>
  <c r="C52" i="4" s="1"/>
  <c r="I52" i="4" s="1"/>
  <c r="G48" i="12"/>
  <c r="P43" i="12"/>
  <c r="Q43" i="12" s="1"/>
  <c r="AF5" i="11"/>
  <c r="AF7" i="11" s="1"/>
  <c r="H10" i="6"/>
  <c r="AF5" i="7" s="1"/>
  <c r="M39" i="12"/>
  <c r="P39" i="12" s="1"/>
  <c r="Q39" i="12" s="1"/>
  <c r="O39" i="12"/>
  <c r="B11" i="8"/>
  <c r="P46" i="12"/>
  <c r="Q46" i="12" s="1"/>
  <c r="E47" i="12"/>
  <c r="D47" i="12"/>
  <c r="F47" i="12" s="1"/>
  <c r="D50" i="5"/>
  <c r="F50" i="5" s="1"/>
  <c r="E50" i="5"/>
  <c r="C54" i="12" l="1"/>
  <c r="G49" i="12"/>
  <c r="C62" i="5"/>
  <c r="G57" i="5"/>
  <c r="C52" i="12"/>
  <c r="G47" i="12"/>
  <c r="C55" i="5"/>
  <c r="G50" i="5"/>
  <c r="C61" i="5"/>
  <c r="G56" i="5"/>
  <c r="D63" i="5"/>
  <c r="E63" i="5"/>
  <c r="F63" i="5" s="1"/>
  <c r="G63" i="5" s="1"/>
  <c r="F44" i="5"/>
  <c r="C49" i="5" s="1"/>
  <c r="E44" i="5"/>
  <c r="D44" i="5"/>
  <c r="N48" i="12"/>
  <c r="H48" i="12"/>
  <c r="K48" i="12" s="1"/>
  <c r="L48" i="12"/>
  <c r="I10" i="6"/>
  <c r="G10" i="8" s="1"/>
  <c r="H10" i="8" s="1"/>
  <c r="I10" i="8" s="1"/>
  <c r="L45" i="12"/>
  <c r="H45" i="12"/>
  <c r="K45" i="12" s="1"/>
  <c r="N45" i="12"/>
  <c r="N51" i="12"/>
  <c r="H51" i="12"/>
  <c r="K51" i="12" s="1"/>
  <c r="L51" i="12"/>
  <c r="AF12" i="11"/>
  <c r="AF8" i="11"/>
  <c r="AI44" i="11"/>
  <c r="AI48" i="11"/>
  <c r="AI49" i="11" s="1"/>
  <c r="AH24" i="11"/>
  <c r="AH25" i="11" s="1"/>
  <c r="AH20" i="11"/>
  <c r="M42" i="12"/>
  <c r="O42" i="12"/>
  <c r="N44" i="12"/>
  <c r="H44" i="12"/>
  <c r="K44" i="12" s="1"/>
  <c r="L44" i="12"/>
  <c r="E50" i="12"/>
  <c r="D50" i="12"/>
  <c r="F50" i="12" s="1"/>
  <c r="F56" i="12"/>
  <c r="C61" i="12" s="1"/>
  <c r="E56" i="12"/>
  <c r="D56" i="12"/>
  <c r="L53" i="12"/>
  <c r="H53" i="12"/>
  <c r="K53" i="12" s="1"/>
  <c r="N53" i="12"/>
  <c r="C10" i="8"/>
  <c r="D10" i="8" s="1"/>
  <c r="E10" i="8" s="1"/>
  <c r="AF13" i="7"/>
  <c r="AF7" i="7"/>
  <c r="AF8" i="7" s="1"/>
  <c r="E58" i="12"/>
  <c r="D58" i="12"/>
  <c r="F58" i="12"/>
  <c r="C63" i="12" s="1"/>
  <c r="P42" i="12"/>
  <c r="Q42" i="12" s="1"/>
  <c r="J11" i="8" s="1"/>
  <c r="L11" i="8" s="1"/>
  <c r="M11" i="8" s="1"/>
  <c r="G58" i="5"/>
  <c r="AG9" i="11"/>
  <c r="D11" i="6"/>
  <c r="K39" i="5"/>
  <c r="B11" i="6"/>
  <c r="E11" i="6" s="1"/>
  <c r="AG10" i="7" s="1"/>
  <c r="I39" i="5"/>
  <c r="C39" i="4" s="1"/>
  <c r="I39" i="4" s="1"/>
  <c r="C11" i="6" s="1"/>
  <c r="I63" i="5" l="1"/>
  <c r="C63" i="4" s="1"/>
  <c r="I63" i="4" s="1"/>
  <c r="K63" i="5"/>
  <c r="C55" i="12"/>
  <c r="G50" i="12"/>
  <c r="E63" i="12"/>
  <c r="D63" i="12"/>
  <c r="F63" i="12" s="1"/>
  <c r="G63" i="12" s="1"/>
  <c r="D55" i="5"/>
  <c r="E55" i="5"/>
  <c r="F55" i="5" s="1"/>
  <c r="AJ45" i="11"/>
  <c r="I57" i="5"/>
  <c r="C57" i="4" s="1"/>
  <c r="I57" i="4" s="1"/>
  <c r="K57" i="5"/>
  <c r="AJ41" i="11" s="1"/>
  <c r="AJ43" i="11" s="1"/>
  <c r="AG63" i="11"/>
  <c r="AG27" i="11"/>
  <c r="G58" i="12"/>
  <c r="G56" i="12"/>
  <c r="AF26" i="11"/>
  <c r="AF62" i="11"/>
  <c r="K56" i="5"/>
  <c r="I56" i="5"/>
  <c r="C56" i="4" s="1"/>
  <c r="I56" i="4" s="1"/>
  <c r="D62" i="5"/>
  <c r="E62" i="5"/>
  <c r="F62" i="5"/>
  <c r="G62" i="5" s="1"/>
  <c r="O53" i="12"/>
  <c r="M53" i="12"/>
  <c r="P53" i="12" s="1"/>
  <c r="Q53" i="12" s="1"/>
  <c r="M51" i="12"/>
  <c r="O51" i="12"/>
  <c r="E49" i="5"/>
  <c r="D49" i="5"/>
  <c r="F49" i="5" s="1"/>
  <c r="I58" i="5"/>
  <c r="C58" i="4" s="1"/>
  <c r="I58" i="4" s="1"/>
  <c r="K58" i="5"/>
  <c r="AF13" i="11"/>
  <c r="E61" i="5"/>
  <c r="F61" i="5"/>
  <c r="G61" i="5"/>
  <c r="D61" i="5"/>
  <c r="N47" i="12"/>
  <c r="L47" i="12"/>
  <c r="H47" i="12"/>
  <c r="K47" i="12" s="1"/>
  <c r="B12" i="8" s="1"/>
  <c r="L49" i="12"/>
  <c r="H49" i="12"/>
  <c r="K49" i="12" s="1"/>
  <c r="N49" i="12"/>
  <c r="AG9" i="7"/>
  <c r="D61" i="12"/>
  <c r="F61" i="12"/>
  <c r="G61" i="12" s="1"/>
  <c r="E61" i="12"/>
  <c r="G11" i="6"/>
  <c r="AG6" i="7" s="1"/>
  <c r="AG4" i="7"/>
  <c r="F11" i="6"/>
  <c r="AG11" i="7" s="1"/>
  <c r="AG5" i="11"/>
  <c r="AG7" i="11" s="1"/>
  <c r="H11" i="6"/>
  <c r="AG5" i="7" s="1"/>
  <c r="O44" i="12"/>
  <c r="M44" i="12"/>
  <c r="P44" i="12" s="1"/>
  <c r="Q44" i="12" s="1"/>
  <c r="P51" i="12"/>
  <c r="Q51" i="12" s="1"/>
  <c r="O45" i="12"/>
  <c r="M45" i="12"/>
  <c r="P45" i="12" s="1"/>
  <c r="Q45" i="12" s="1"/>
  <c r="O48" i="12"/>
  <c r="M48" i="12"/>
  <c r="P48" i="12" s="1"/>
  <c r="Q48" i="12" s="1"/>
  <c r="G44" i="5"/>
  <c r="AI21" i="11"/>
  <c r="I50" i="5"/>
  <c r="C50" i="4" s="1"/>
  <c r="I50" i="4" s="1"/>
  <c r="K50" i="5"/>
  <c r="AI17" i="11" s="1"/>
  <c r="AI19" i="11" s="1"/>
  <c r="F52" i="12"/>
  <c r="C57" i="12" s="1"/>
  <c r="D52" i="12"/>
  <c r="E52" i="12"/>
  <c r="E54" i="12"/>
  <c r="D54" i="12"/>
  <c r="F54" i="12" s="1"/>
  <c r="C54" i="5" l="1"/>
  <c r="G49" i="5"/>
  <c r="L61" i="12"/>
  <c r="H61" i="12"/>
  <c r="K61" i="12" s="1"/>
  <c r="N61" i="12"/>
  <c r="C60" i="5"/>
  <c r="G55" i="5"/>
  <c r="N63" i="12"/>
  <c r="L63" i="12"/>
  <c r="H63" i="12"/>
  <c r="K63" i="12" s="1"/>
  <c r="C59" i="12"/>
  <c r="G54" i="12"/>
  <c r="AK45" i="11"/>
  <c r="AN45" i="11" s="1"/>
  <c r="I62" i="5"/>
  <c r="C62" i="4" s="1"/>
  <c r="I62" i="4" s="1"/>
  <c r="K62" i="5"/>
  <c r="AK41" i="11" s="1"/>
  <c r="G52" i="12"/>
  <c r="AH9" i="11"/>
  <c r="B12" i="6"/>
  <c r="E12" i="6" s="1"/>
  <c r="AH10" i="7" s="1"/>
  <c r="K44" i="5"/>
  <c r="D12" i="6"/>
  <c r="I44" i="5"/>
  <c r="C44" i="4" s="1"/>
  <c r="I44" i="4" s="1"/>
  <c r="C12" i="6" s="1"/>
  <c r="AJ48" i="11"/>
  <c r="AJ49" i="11" s="1"/>
  <c r="AJ44" i="11"/>
  <c r="E55" i="12"/>
  <c r="F55" i="12" s="1"/>
  <c r="D55" i="12"/>
  <c r="D57" i="12"/>
  <c r="F57" i="12"/>
  <c r="C62" i="12" s="1"/>
  <c r="E57" i="12"/>
  <c r="C11" i="8"/>
  <c r="D11" i="8" s="1"/>
  <c r="E11" i="8" s="1"/>
  <c r="AG13" i="7"/>
  <c r="AG7" i="7"/>
  <c r="AG8" i="7" s="1"/>
  <c r="M47" i="12"/>
  <c r="O47" i="12"/>
  <c r="P47" i="12" s="1"/>
  <c r="Q47" i="12" s="1"/>
  <c r="J12" i="8" s="1"/>
  <c r="L12" i="8" s="1"/>
  <c r="M12" i="8" s="1"/>
  <c r="AI24" i="11"/>
  <c r="AI25" i="11" s="1"/>
  <c r="AI20" i="11"/>
  <c r="AG12" i="11"/>
  <c r="AG13" i="11" s="1"/>
  <c r="AG8" i="11"/>
  <c r="O49" i="12"/>
  <c r="M49" i="12"/>
  <c r="L58" i="12"/>
  <c r="H58" i="12"/>
  <c r="K58" i="12" s="1"/>
  <c r="N58" i="12"/>
  <c r="I61" i="5"/>
  <c r="C61" i="4" s="1"/>
  <c r="I61" i="4" s="1"/>
  <c r="K61" i="5"/>
  <c r="N56" i="12"/>
  <c r="H56" i="12"/>
  <c r="K56" i="12" s="1"/>
  <c r="L56" i="12"/>
  <c r="L50" i="12"/>
  <c r="H50" i="12"/>
  <c r="K50" i="12" s="1"/>
  <c r="N50" i="12"/>
  <c r="I11" i="6"/>
  <c r="G11" i="8" s="1"/>
  <c r="H11" i="8" s="1"/>
  <c r="I11" i="8" s="1"/>
  <c r="P49" i="12"/>
  <c r="Q49" i="12" s="1"/>
  <c r="C60" i="12" l="1"/>
  <c r="G55" i="12"/>
  <c r="E62" i="12"/>
  <c r="D62" i="12"/>
  <c r="F62" i="12"/>
  <c r="G62" i="12" s="1"/>
  <c r="AH5" i="11"/>
  <c r="AH7" i="11" s="1"/>
  <c r="H12" i="6"/>
  <c r="AH5" i="7" s="1"/>
  <c r="AG26" i="11"/>
  <c r="AG62" i="11"/>
  <c r="O56" i="12"/>
  <c r="M56" i="12"/>
  <c r="P56" i="12" s="1"/>
  <c r="Q56" i="12" s="1"/>
  <c r="AH4" i="7"/>
  <c r="G12" i="6"/>
  <c r="AH6" i="7" s="1"/>
  <c r="F12" i="6"/>
  <c r="AH11" i="7" s="1"/>
  <c r="AH63" i="11"/>
  <c r="AH27" i="11"/>
  <c r="M63" i="12"/>
  <c r="O63" i="12"/>
  <c r="E60" i="5"/>
  <c r="D60" i="5"/>
  <c r="F60" i="5" s="1"/>
  <c r="G60" i="5" s="1"/>
  <c r="AI9" i="11"/>
  <c r="D13" i="6"/>
  <c r="I49" i="5"/>
  <c r="C49" i="4" s="1"/>
  <c r="I49" i="4" s="1"/>
  <c r="C13" i="6" s="1"/>
  <c r="B13" i="6"/>
  <c r="E13" i="6" s="1"/>
  <c r="AI10" i="7" s="1"/>
  <c r="K49" i="5"/>
  <c r="AK43" i="11"/>
  <c r="AN41" i="11"/>
  <c r="E59" i="12"/>
  <c r="D59" i="12"/>
  <c r="F59" i="12" s="1"/>
  <c r="G59" i="12" s="1"/>
  <c r="O61" i="12"/>
  <c r="M61" i="12"/>
  <c r="P61" i="12" s="1"/>
  <c r="Q61" i="12" s="1"/>
  <c r="G57" i="12"/>
  <c r="AJ21" i="11"/>
  <c r="K55" i="5"/>
  <c r="AJ17" i="11" s="1"/>
  <c r="AJ19" i="11" s="1"/>
  <c r="I55" i="5"/>
  <c r="C55" i="4" s="1"/>
  <c r="I55" i="4" s="1"/>
  <c r="M50" i="12"/>
  <c r="O50" i="12"/>
  <c r="P50" i="12" s="1"/>
  <c r="Q50" i="12" s="1"/>
  <c r="M58" i="12"/>
  <c r="O58" i="12"/>
  <c r="P58" i="12" s="1"/>
  <c r="Q58" i="12" s="1"/>
  <c r="AH9" i="7"/>
  <c r="N52" i="12"/>
  <c r="H52" i="12"/>
  <c r="K52" i="12" s="1"/>
  <c r="L52" i="12"/>
  <c r="L54" i="12"/>
  <c r="H54" i="12"/>
  <c r="K54" i="12" s="1"/>
  <c r="N54" i="12"/>
  <c r="P63" i="12"/>
  <c r="Q63" i="12" s="1"/>
  <c r="D54" i="5"/>
  <c r="E54" i="5"/>
  <c r="F54" i="5"/>
  <c r="C59" i="5" s="1"/>
  <c r="G54" i="5"/>
  <c r="AK21" i="11" l="1"/>
  <c r="AN21" i="11" s="1"/>
  <c r="K60" i="5"/>
  <c r="AK17" i="11" s="1"/>
  <c r="I60" i="5"/>
  <c r="C60" i="4" s="1"/>
  <c r="I60" i="4" s="1"/>
  <c r="N59" i="12"/>
  <c r="H59" i="12"/>
  <c r="K59" i="12" s="1"/>
  <c r="L59" i="12"/>
  <c r="L62" i="12"/>
  <c r="H62" i="12"/>
  <c r="K62" i="12" s="1"/>
  <c r="N62" i="12"/>
  <c r="N55" i="12"/>
  <c r="L55" i="12"/>
  <c r="H55" i="12"/>
  <c r="K55" i="12" s="1"/>
  <c r="AJ9" i="11"/>
  <c r="B14" i="6"/>
  <c r="E14" i="6" s="1"/>
  <c r="AJ10" i="7" s="1"/>
  <c r="I54" i="5"/>
  <c r="C54" i="4" s="1"/>
  <c r="I54" i="4" s="1"/>
  <c r="C14" i="6" s="1"/>
  <c r="K54" i="5"/>
  <c r="D14" i="6"/>
  <c r="AJ24" i="11"/>
  <c r="AJ25" i="11" s="1"/>
  <c r="AJ20" i="11"/>
  <c r="AK48" i="11"/>
  <c r="AK44" i="11"/>
  <c r="AN44" i="11" s="1"/>
  <c r="AN43" i="11"/>
  <c r="D59" i="5"/>
  <c r="E59" i="5"/>
  <c r="F59" i="5"/>
  <c r="G59" i="5" s="1"/>
  <c r="AI9" i="7"/>
  <c r="M54" i="12"/>
  <c r="P54" i="12" s="1"/>
  <c r="Q54" i="12" s="1"/>
  <c r="O54" i="12"/>
  <c r="L57" i="12"/>
  <c r="H57" i="12"/>
  <c r="K57" i="12" s="1"/>
  <c r="B14" i="8" s="1"/>
  <c r="N57" i="12"/>
  <c r="AI5" i="11"/>
  <c r="AI7" i="11" s="1"/>
  <c r="H13" i="6"/>
  <c r="AI5" i="7" s="1"/>
  <c r="AI63" i="11"/>
  <c r="AI27" i="11"/>
  <c r="D60" i="12"/>
  <c r="F60" i="12" s="1"/>
  <c r="G60" i="12" s="1"/>
  <c r="E60" i="12"/>
  <c r="G13" i="6"/>
  <c r="AI6" i="7" s="1"/>
  <c r="AI4" i="7"/>
  <c r="F13" i="6"/>
  <c r="AI11" i="7" s="1"/>
  <c r="O52" i="12"/>
  <c r="M52" i="12"/>
  <c r="P52" i="12" s="1"/>
  <c r="Q52" i="12" s="1"/>
  <c r="J13" i="8" s="1"/>
  <c r="L13" i="8" s="1"/>
  <c r="M13" i="8" s="1"/>
  <c r="B13" i="8"/>
  <c r="I12" i="6"/>
  <c r="G12" i="8" s="1"/>
  <c r="H12" i="8" s="1"/>
  <c r="I12" i="8" s="1"/>
  <c r="C12" i="8"/>
  <c r="D12" i="8" s="1"/>
  <c r="E12" i="8" s="1"/>
  <c r="AH13" i="7"/>
  <c r="AH7" i="7"/>
  <c r="AH8" i="7" s="1"/>
  <c r="AH12" i="11"/>
  <c r="AH13" i="11" s="1"/>
  <c r="AH8" i="11"/>
  <c r="N60" i="12" l="1"/>
  <c r="H60" i="12"/>
  <c r="K60" i="12" s="1"/>
  <c r="L60" i="12"/>
  <c r="AK9" i="11"/>
  <c r="D15" i="6"/>
  <c r="K59" i="5"/>
  <c r="B15" i="6"/>
  <c r="E15" i="6" s="1"/>
  <c r="AK10" i="7" s="1"/>
  <c r="AN10" i="7" s="1"/>
  <c r="I59" i="5"/>
  <c r="C59" i="4" s="1"/>
  <c r="I59" i="4" s="1"/>
  <c r="C15" i="6" s="1"/>
  <c r="AH26" i="11"/>
  <c r="AH62" i="11"/>
  <c r="AJ63" i="11"/>
  <c r="AJ27" i="11"/>
  <c r="AI12" i="11"/>
  <c r="AI13" i="11" s="1"/>
  <c r="AI8" i="11"/>
  <c r="I13" i="6"/>
  <c r="G13" i="8" s="1"/>
  <c r="H13" i="8" s="1"/>
  <c r="I13" i="8" s="1"/>
  <c r="AK49" i="11"/>
  <c r="AN49" i="11" s="1"/>
  <c r="AN48" i="11"/>
  <c r="AJ5" i="11"/>
  <c r="AJ7" i="11" s="1"/>
  <c r="H14" i="6"/>
  <c r="AJ5" i="7" s="1"/>
  <c r="M55" i="12"/>
  <c r="O55" i="12"/>
  <c r="P55" i="12" s="1"/>
  <c r="Q55" i="12" s="1"/>
  <c r="M59" i="12"/>
  <c r="P59" i="12" s="1"/>
  <c r="Q59" i="12" s="1"/>
  <c r="O59" i="12"/>
  <c r="AK19" i="11"/>
  <c r="AN17" i="11"/>
  <c r="O57" i="12"/>
  <c r="M57" i="12"/>
  <c r="P57" i="12" s="1"/>
  <c r="Q57" i="12" s="1"/>
  <c r="C13" i="8"/>
  <c r="D13" i="8" s="1"/>
  <c r="E13" i="8" s="1"/>
  <c r="AI7" i="7"/>
  <c r="AI8" i="7" s="1"/>
  <c r="AI13" i="7"/>
  <c r="AJ9" i="7"/>
  <c r="G14" i="6"/>
  <c r="AJ6" i="7" s="1"/>
  <c r="F14" i="6"/>
  <c r="AJ11" i="7" s="1"/>
  <c r="AJ4" i="7"/>
  <c r="M62" i="12"/>
  <c r="O62" i="12"/>
  <c r="P62" i="12" s="1"/>
  <c r="Q62" i="12" s="1"/>
  <c r="J14" i="8" l="1"/>
  <c r="L14" i="8" s="1"/>
  <c r="M14" i="8" s="1"/>
  <c r="AK5" i="11"/>
  <c r="H15" i="6"/>
  <c r="AK5" i="7" s="1"/>
  <c r="AK9" i="7"/>
  <c r="AN9" i="7" s="1"/>
  <c r="C14" i="8"/>
  <c r="D14" i="8" s="1"/>
  <c r="E14" i="8" s="1"/>
  <c r="AJ13" i="7"/>
  <c r="AJ7" i="7"/>
  <c r="AJ8" i="7" s="1"/>
  <c r="AK24" i="11"/>
  <c r="AK20" i="11"/>
  <c r="AN20" i="11" s="1"/>
  <c r="AN19" i="11"/>
  <c r="O60" i="12"/>
  <c r="M60" i="12"/>
  <c r="P60" i="12" s="1"/>
  <c r="Q60" i="12" s="1"/>
  <c r="J15" i="8" s="1"/>
  <c r="L15" i="8" s="1"/>
  <c r="M15" i="8" s="1"/>
  <c r="B15" i="8"/>
  <c r="AJ12" i="11"/>
  <c r="AJ13" i="11" s="1"/>
  <c r="AJ8" i="11"/>
  <c r="AI26" i="11"/>
  <c r="AI62" i="11"/>
  <c r="I14" i="6"/>
  <c r="G14" i="8" s="1"/>
  <c r="H14" i="8" s="1"/>
  <c r="I14" i="8" s="1"/>
  <c r="G15" i="6"/>
  <c r="AK6" i="7" s="1"/>
  <c r="AK4" i="7"/>
  <c r="F15" i="6"/>
  <c r="AK11" i="7" s="1"/>
  <c r="AN11" i="7" s="1"/>
  <c r="AK63" i="11"/>
  <c r="AN63" i="11" s="1"/>
  <c r="AK27" i="11"/>
  <c r="AN27" i="11" s="1"/>
  <c r="AN9" i="11"/>
  <c r="AN6" i="7" l="1"/>
  <c r="AJ26" i="11"/>
  <c r="AJ62" i="11"/>
  <c r="AK25" i="11"/>
  <c r="AN25" i="11" s="1"/>
  <c r="AN24" i="11"/>
  <c r="AK7" i="11"/>
  <c r="AN5" i="11"/>
  <c r="C15" i="8"/>
  <c r="D15" i="8" s="1"/>
  <c r="E15" i="8" s="1"/>
  <c r="AK13" i="7"/>
  <c r="AK7" i="7"/>
  <c r="AK8" i="7" s="1"/>
  <c r="B4" i="14"/>
  <c r="D4" i="14" s="1"/>
  <c r="AN4" i="7"/>
  <c r="B9" i="14"/>
  <c r="D9" i="14" s="1"/>
  <c r="I15" i="6"/>
  <c r="G15" i="8" s="1"/>
  <c r="H15" i="8" s="1"/>
  <c r="I15" i="8" s="1"/>
  <c r="AN5" i="7"/>
  <c r="B5" i="14"/>
  <c r="D5" i="14" s="1"/>
  <c r="AK12" i="11" l="1"/>
  <c r="AK8" i="11"/>
  <c r="AN7" i="11"/>
  <c r="AN7" i="7"/>
  <c r="B7" i="14"/>
  <c r="D7" i="14" s="1"/>
  <c r="B6" i="14"/>
  <c r="D6" i="14" s="1"/>
  <c r="AK26" i="11" l="1"/>
  <c r="AN26" i="11" s="1"/>
  <c r="AK62" i="11"/>
  <c r="AN62" i="11" s="1"/>
  <c r="AN8" i="11"/>
  <c r="AN12" i="7"/>
  <c r="AN13" i="7" s="1"/>
  <c r="AN8" i="7"/>
  <c r="AK13" i="11"/>
  <c r="AN13" i="11" s="1"/>
  <c r="AN12" i="11"/>
</calcChain>
</file>

<file path=xl/sharedStrings.xml><?xml version="1.0" encoding="utf-8"?>
<sst xmlns="http://schemas.openxmlformats.org/spreadsheetml/2006/main" count="742" uniqueCount="160">
  <si>
    <t>Integrated FP&amp;A Planning &amp; Forecast Model</t>
  </si>
  <si>
    <t>Rukmini KS — Illustrative IT Services Company (For demonstration)</t>
  </si>
  <si>
    <t>Prepared by:</t>
  </si>
  <si>
    <t>Rukmini KS</t>
  </si>
  <si>
    <t>Model date:</t>
  </si>
  <si>
    <t>Portfolio Project</t>
  </si>
  <si>
    <t>3-Year Driver-Based Financial Model</t>
  </si>
  <si>
    <t>Currency</t>
  </si>
  <si>
    <t>₹ million unless otherwise stated</t>
  </si>
  <si>
    <t>Historical Period</t>
  </si>
  <si>
    <t>Jan-2025 to Dec-2026</t>
  </si>
  <si>
    <t>Forecast Period</t>
  </si>
  <si>
    <t>Jan-2027 to Dec-2027</t>
  </si>
  <si>
    <t>Model Purpose</t>
  </si>
  <si>
    <t>Revenue, headcount, opex, P&amp;L, variance and scenario planning</t>
  </si>
  <si>
    <t>Historical Actuals by Business Unit (₹m unless stated)</t>
  </si>
  <si>
    <t>Month</t>
  </si>
  <si>
    <t>Fiscal Year</t>
  </si>
  <si>
    <t>Quarter</t>
  </si>
  <si>
    <t>Business Unit</t>
  </si>
  <si>
    <t>Total HC</t>
  </si>
  <si>
    <t>Billable HC</t>
  </si>
  <si>
    <t>Utilization %</t>
  </si>
  <si>
    <t>Billing Rate (₹/hr)</t>
  </si>
  <si>
    <t>Revenue (₹m)</t>
  </si>
  <si>
    <t>Personnel Cost (₹m)</t>
  </si>
  <si>
    <t>Subcontractor Cost (₹m)</t>
  </si>
  <si>
    <t>Software Cost (₹m)</t>
  </si>
  <si>
    <t>Facilities Cost (₹m)</t>
  </si>
  <si>
    <t>Travel Cost (₹m)</t>
  </si>
  <si>
    <t>Marketing Cost (₹m)</t>
  </si>
  <si>
    <t>Other Opex (₹m)</t>
  </si>
  <si>
    <t>Total Cost (₹m)</t>
  </si>
  <si>
    <t>Gross Profit (₹m)</t>
  </si>
  <si>
    <t>Gross Margin %</t>
  </si>
  <si>
    <t>EBITDA (₹m)</t>
  </si>
  <si>
    <t>EBITDA Margin %</t>
  </si>
  <si>
    <t>Q1</t>
  </si>
  <si>
    <t>Cloud Services</t>
  </si>
  <si>
    <t>Data &amp; Analytics</t>
  </si>
  <si>
    <t>Cybersecurity</t>
  </si>
  <si>
    <t>Application Development</t>
  </si>
  <si>
    <t>Managed Services</t>
  </si>
  <si>
    <t>Q2</t>
  </si>
  <si>
    <t>Q3</t>
  </si>
  <si>
    <t>Q4</t>
  </si>
  <si>
    <t>Model Logic</t>
  </si>
  <si>
    <t>Billable HC × utilization × working hours × billing rate</t>
  </si>
  <si>
    <t>Budget Logic</t>
  </si>
  <si>
    <t>Independent headcount, utilization, rate and cost assumptions</t>
  </si>
  <si>
    <t>Model Checks</t>
  </si>
  <si>
    <t>Reconciliations included on the Checks sheet</t>
  </si>
  <si>
    <t>Portfolio Note</t>
  </si>
  <si>
    <t>All data is fictional and created for demonstration purposes.</t>
  </si>
  <si>
    <t>How to use</t>
  </si>
  <si>
    <t>Select Base, Upside or Downside in Assumptions!B3. All forecast schedules, P&amp;L and Executive Summary update automatically.</t>
  </si>
  <si>
    <t>Model Assumptions &amp; Controls</t>
  </si>
  <si>
    <t>Active Scenario</t>
  </si>
  <si>
    <t>Base</t>
  </si>
  <si>
    <t>Select Base / Upside / Downside</t>
  </si>
  <si>
    <t>Active Scenario Drivers</t>
  </si>
  <si>
    <t>Value</t>
  </si>
  <si>
    <t>Unit</t>
  </si>
  <si>
    <t>Source / Note</t>
  </si>
  <si>
    <t>Utilization Change</t>
  </si>
  <si>
    <t>percentage points</t>
  </si>
  <si>
    <t>Selected from Scenarios</t>
  </si>
  <si>
    <t>Billing Rate Growth</t>
  </si>
  <si>
    <t>%</t>
  </si>
  <si>
    <t>Salary Inflation</t>
  </si>
  <si>
    <t>Other Opex Growth</t>
  </si>
  <si>
    <t>Annual HC Growth</t>
  </si>
  <si>
    <t>Opening HC</t>
  </si>
  <si>
    <t>Billable %</t>
  </si>
  <si>
    <t>Base Utilization</t>
  </si>
  <si>
    <t>Avg Monthly Salary (₹m)</t>
  </si>
  <si>
    <t>Software / HC (₹m)</t>
  </si>
  <si>
    <t>TOTAL / AVG</t>
  </si>
  <si>
    <t>Forecast Model Inputs</t>
  </si>
  <si>
    <t>Working Hours / Month</t>
  </si>
  <si>
    <t>Annual Attrition Rate</t>
  </si>
  <si>
    <t>Subcontractor Cost % Revenue</t>
  </si>
  <si>
    <t>Facilities Cost / HC (₹m)</t>
  </si>
  <si>
    <t>Travel + Marketing + Other Opex % Revenue</t>
  </si>
  <si>
    <t>Independent 2027 Budget Inputs</t>
  </si>
  <si>
    <t>Other Opex % Revenue</t>
  </si>
  <si>
    <t>2027 Driver-Based Revenue Forecast</t>
  </si>
  <si>
    <t>Case Selected:</t>
  </si>
  <si>
    <t>Scenario Utilization</t>
  </si>
  <si>
    <t>Working Hours</t>
  </si>
  <si>
    <t>Base Billing Rate (₹/hr)</t>
  </si>
  <si>
    <t>Scenario Billing Rate (₹/hr)</t>
  </si>
  <si>
    <t>Revenue Forecast (₹m)</t>
  </si>
  <si>
    <t>Revenue Driver</t>
  </si>
  <si>
    <t>Billable HC × utilization × hours × rate</t>
  </si>
  <si>
    <t>2027 Headcount and Personnel Cost Forecast</t>
  </si>
  <si>
    <t>Gross Hires</t>
  </si>
  <si>
    <t>Attrition</t>
  </si>
  <si>
    <t>Closing HC</t>
  </si>
  <si>
    <t>Average HC</t>
  </si>
  <si>
    <t>Avg Salary / Month (₹m)</t>
  </si>
  <si>
    <t>2027 Operating Cost Forecast</t>
  </si>
  <si>
    <t>Software (₹m)</t>
  </si>
  <si>
    <t>Facilities (₹m)</t>
  </si>
  <si>
    <t>Travel + Marketing + Other (₹m)</t>
  </si>
  <si>
    <t>Subcontractors (₹m)</t>
  </si>
  <si>
    <t>Personnel (₹m)</t>
  </si>
  <si>
    <t>Integrated Monthly P&amp;L (₹m)</t>
  </si>
  <si>
    <t>Line Item</t>
  </si>
  <si>
    <t>2025 Actual</t>
  </si>
  <si>
    <t>2026 Actual</t>
  </si>
  <si>
    <t>2027 Forecast</t>
  </si>
  <si>
    <t>Revenue</t>
  </si>
  <si>
    <t>Personnel Cost</t>
  </si>
  <si>
    <t>Subcontractor Cost</t>
  </si>
  <si>
    <t>Gross Profit</t>
  </si>
  <si>
    <t>Software Cost</t>
  </si>
  <si>
    <t>Facilities Cost</t>
  </si>
  <si>
    <t>Travel + Marketing + Other Opex</t>
  </si>
  <si>
    <t>EBITDA</t>
  </si>
  <si>
    <t>Monthly P&amp;L by Business Unit (₹m)</t>
  </si>
  <si>
    <t>Business Unit / Line Item</t>
  </si>
  <si>
    <t>Cloud Services — Revenue</t>
  </si>
  <si>
    <t>Other Opex</t>
  </si>
  <si>
    <t>Data &amp; Analytics — Revenue</t>
  </si>
  <si>
    <t>Cybersecurity — Revenue</t>
  </si>
  <si>
    <t>Application Development — Revenue</t>
  </si>
  <si>
    <t>Managed Services — Revenue</t>
  </si>
  <si>
    <t>2027 Forecast vs Budget Variance Analysis</t>
  </si>
  <si>
    <t>Revenue Budget</t>
  </si>
  <si>
    <t>Revenue Forecast</t>
  </si>
  <si>
    <t>Revenue Var</t>
  </si>
  <si>
    <t>Revenue Var %</t>
  </si>
  <si>
    <t>Cost Budget</t>
  </si>
  <si>
    <t>Cost Forecast</t>
  </si>
  <si>
    <t>Cost Var</t>
  </si>
  <si>
    <t>Cost Var %</t>
  </si>
  <si>
    <t>EBITDA Budget</t>
  </si>
  <si>
    <t>EBITDA Forecast</t>
  </si>
  <si>
    <t>EBITDA Var</t>
  </si>
  <si>
    <t>EBITDA Var %</t>
  </si>
  <si>
    <t>Scenario Assumptions</t>
  </si>
  <si>
    <t>Scenario</t>
  </si>
  <si>
    <t>Upside</t>
  </si>
  <si>
    <t>Downside</t>
  </si>
  <si>
    <t>All assumptions are fictional portfolio inputs designed to demonstrate scenario modelling.</t>
  </si>
  <si>
    <t>Independent 2027 Budget Build</t>
  </si>
  <si>
    <t>Utilization</t>
  </si>
  <si>
    <t>Billing Rate</t>
  </si>
  <si>
    <t>Software + Facilities (₹m)</t>
  </si>
  <si>
    <t>Check</t>
  </si>
  <si>
    <t>Difference</t>
  </si>
  <si>
    <t>Tolerance</t>
  </si>
  <si>
    <t>Status</t>
  </si>
  <si>
    <t>Forecast revenue: P&amp;L vs Revenue Forecast</t>
  </si>
  <si>
    <t>Personnel cost: P&amp;L vs Headcount Plan</t>
  </si>
  <si>
    <t>Total cost: P&amp;L vs Opex Forecast</t>
  </si>
  <si>
    <t>Forecast EBITDA: P&amp;L vs Revenue less cost</t>
  </si>
  <si>
    <t>January opening HC vs assumptions</t>
  </si>
  <si>
    <t>Detailed P&amp;L revenue vs consolidated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</si>
</sst>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;[Red]\(0.0%\);\-"/>
    <numFmt numFmtId="165" formatCode="0.000"/>
    <numFmt numFmtId="166" formatCode="mmm\-yy"/>
    <numFmt numFmtId="167" formatCode="#,##0.0;[Red]\(#,##0.0\);\-"/>
    <numFmt numFmtId="168" formatCode="#,##0.00000000000;[Red]#,##0.00000000000"/>
    <numFmt numFmtId="169" formatCode="#,##0.0"/>
    <numFmt numFmtId="170" formatCode="0.00;[Red]\(0.00\);0.00"/>
  </numFmts>
  <fonts count="20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color rgb="FF1F1F1F"/>
      <name val="Aptos"/>
      <family val="2"/>
    </font>
    <font>
      <sz val="11"/>
      <name val="Carlito"/>
    </font>
    <font>
      <b/>
      <sz val="10"/>
      <color rgb="FF222222"/>
      <name val="Arial"/>
      <family val="2"/>
    </font>
    <font>
      <i/>
      <sz val="10"/>
      <color rgb="FF222222"/>
      <name val="Arial"/>
      <family val="2"/>
    </font>
    <font>
      <sz val="10"/>
      <color rgb="FF222222"/>
      <name val="Arial"/>
      <family val="2"/>
    </font>
    <font>
      <b/>
      <sz val="16"/>
      <color rgb="FFFFFFFF"/>
      <name val="Arial"/>
      <family val="2"/>
    </font>
    <font>
      <b/>
      <sz val="14"/>
      <color rgb="FFFFFFFF"/>
      <name val="Aptos"/>
      <family val="2"/>
    </font>
    <font>
      <sz val="10"/>
      <color rgb="FF222222"/>
      <name val="Aptos"/>
      <family val="2"/>
    </font>
    <font>
      <sz val="11"/>
      <name val="Aptos"/>
      <family val="2"/>
    </font>
    <font>
      <b/>
      <sz val="11"/>
      <color rgb="FF17365D"/>
      <name val="Aptos"/>
      <family val="2"/>
    </font>
    <font>
      <b/>
      <sz val="11"/>
      <color rgb="FF0000FF"/>
      <name val="Aptos"/>
      <family val="2"/>
    </font>
    <font>
      <sz val="10"/>
      <color rgb="FF0000FF"/>
      <name val="Aptos"/>
      <family val="2"/>
    </font>
    <font>
      <b/>
      <sz val="10"/>
      <color rgb="FF222222"/>
      <name val="Aptos"/>
      <family val="2"/>
    </font>
    <font>
      <b/>
      <sz val="10"/>
      <color rgb="FF008000"/>
      <name val="Aptos"/>
      <family val="2"/>
    </font>
    <font>
      <sz val="10"/>
      <color rgb="FF008000"/>
      <name val="Aptos"/>
      <family val="2"/>
    </font>
    <font>
      <b/>
      <sz val="10"/>
      <color rgb="FF17365D"/>
      <name val="Aptos"/>
      <family val="2"/>
    </font>
    <font>
      <i/>
      <sz val="9"/>
      <color rgb="FF666666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double">
        <color rgb="FF17365D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5" fontId="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0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5" fillId="0" borderId="5" xfId="0" applyFont="1" applyBorder="1" applyAlignment="1">
      <alignment vertical="center"/>
    </xf>
    <xf numFmtId="167" fontId="15" fillId="0" borderId="5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5" borderId="0" xfId="0" applyFont="1" applyFill="1" applyAlignment="1">
      <alignment vertical="center"/>
    </xf>
    <xf numFmtId="168" fontId="10" fillId="0" borderId="0" xfId="0" applyNumberFormat="1" applyFont="1"/>
    <xf numFmtId="0" fontId="15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166" fontId="10" fillId="0" borderId="0" xfId="0" applyNumberFormat="1" applyFont="1" applyFill="1" applyBorder="1"/>
    <xf numFmtId="0" fontId="10" fillId="0" borderId="0" xfId="0" applyFont="1" applyFill="1" applyBorder="1"/>
    <xf numFmtId="164" fontId="10" fillId="0" borderId="0" xfId="0" applyNumberFormat="1" applyFont="1" applyFill="1" applyBorder="1"/>
    <xf numFmtId="3" fontId="10" fillId="0" borderId="0" xfId="0" applyNumberFormat="1" applyFont="1" applyFill="1" applyBorder="1"/>
    <xf numFmtId="167" fontId="10" fillId="0" borderId="0" xfId="0" applyNumberFormat="1" applyFont="1" applyFill="1" applyBorder="1"/>
    <xf numFmtId="0" fontId="2" fillId="0" borderId="0" xfId="0" applyFont="1" applyFill="1" applyBorder="1"/>
    <xf numFmtId="0" fontId="11" fillId="0" borderId="0" xfId="0" applyFont="1" applyFill="1" applyBorder="1"/>
    <xf numFmtId="0" fontId="9" fillId="5" borderId="0" xfId="0" applyFont="1" applyFill="1"/>
    <xf numFmtId="0" fontId="10" fillId="5" borderId="0" xfId="0" applyFont="1" applyFill="1"/>
    <xf numFmtId="0" fontId="16" fillId="0" borderId="0" xfId="0" applyFont="1"/>
    <xf numFmtId="166" fontId="10" fillId="0" borderId="0" xfId="0" applyNumberFormat="1" applyFont="1"/>
    <xf numFmtId="167" fontId="17" fillId="0" borderId="0" xfId="0" applyNumberFormat="1" applyFont="1"/>
    <xf numFmtId="164" fontId="17" fillId="0" borderId="0" xfId="0" applyNumberFormat="1" applyFont="1"/>
    <xf numFmtId="169" fontId="17" fillId="0" borderId="0" xfId="0" applyNumberFormat="1" applyFont="1"/>
    <xf numFmtId="167" fontId="10" fillId="0" borderId="0" xfId="0" applyNumberFormat="1" applyFont="1"/>
    <xf numFmtId="0" fontId="10" fillId="5" borderId="0" xfId="0" applyFont="1" applyFill="1"/>
    <xf numFmtId="166" fontId="1" fillId="7" borderId="4" xfId="0" applyNumberFormat="1" applyFont="1" applyFill="1" applyBorder="1" applyAlignment="1">
      <alignment horizontal="center" vertical="center" wrapText="1"/>
    </xf>
    <xf numFmtId="167" fontId="17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10" fillId="4" borderId="0" xfId="0" applyFont="1" applyFill="1" applyAlignment="1">
      <alignment vertical="center"/>
    </xf>
    <xf numFmtId="167" fontId="10" fillId="4" borderId="0" xfId="0" applyNumberFormat="1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0" fontId="10" fillId="8" borderId="0" xfId="0" applyFont="1" applyFill="1" applyAlignment="1">
      <alignment vertical="center"/>
    </xf>
    <xf numFmtId="167" fontId="17" fillId="8" borderId="0" xfId="0" applyNumberFormat="1" applyFont="1" applyFill="1" applyAlignment="1">
      <alignment vertical="center"/>
    </xf>
    <xf numFmtId="167" fontId="10" fillId="8" borderId="0" xfId="0" applyNumberFormat="1" applyFont="1" applyFill="1" applyAlignment="1">
      <alignment vertical="center"/>
    </xf>
    <xf numFmtId="164" fontId="10" fillId="8" borderId="0" xfId="0" applyNumberFormat="1" applyFont="1" applyFill="1" applyAlignment="1">
      <alignment vertical="center"/>
    </xf>
    <xf numFmtId="0" fontId="18" fillId="4" borderId="0" xfId="0" applyFont="1" applyFill="1"/>
    <xf numFmtId="167" fontId="16" fillId="4" borderId="0" xfId="0" applyNumberFormat="1" applyFont="1" applyFill="1"/>
    <xf numFmtId="164" fontId="10" fillId="0" borderId="0" xfId="0" applyNumberFormat="1" applyFont="1"/>
    <xf numFmtId="164" fontId="14" fillId="0" borderId="0" xfId="0" applyNumberFormat="1" applyFont="1"/>
    <xf numFmtId="0" fontId="19" fillId="0" borderId="0" xfId="0" applyFont="1"/>
    <xf numFmtId="0" fontId="9" fillId="5" borderId="0" xfId="0" applyFont="1" applyFill="1" applyAlignment="1">
      <alignment horizontal="left"/>
    </xf>
    <xf numFmtId="0" fontId="9" fillId="5" borderId="0" xfId="0" applyFont="1" applyFill="1"/>
    <xf numFmtId="0" fontId="1" fillId="7" borderId="4" xfId="0" applyFont="1" applyFill="1" applyBorder="1" applyAlignment="1">
      <alignment horizontal="center" vertical="center"/>
    </xf>
    <xf numFmtId="170" fontId="17" fillId="0" borderId="0" xfId="0" applyNumberFormat="1" applyFont="1"/>
    <xf numFmtId="170" fontId="10" fillId="0" borderId="0" xfId="0" applyNumberFormat="1" applyFont="1"/>
  </cellXfs>
  <cellStyles count="3">
    <cellStyle name="Comma" xfId="1" xr:uid="{00000000-0005-0000-0000-000000000000}"/>
    <cellStyle name="Normal" xfId="0" builtinId="0"/>
    <cellStyle name="Percent" xfId="2" xr:uid="{00000000-0005-0000-0000-000002000000}"/>
  </cellStyles>
  <dxfs count="6">
    <dxf>
      <font>
        <color rgb="FF222222"/>
      </font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202"/>
  <sheetViews>
    <sheetView showGridLines="0" tabSelected="1" workbookViewId="0"/>
  </sheetViews>
  <sheetFormatPr defaultRowHeight="13.8"/>
  <cols>
    <col min="2" max="2" width="24" customWidth="1"/>
    <col min="3" max="3" width="68" customWidth="1"/>
  </cols>
  <sheetData>
    <row r="2" spans="2:53" ht="17.850000000000001" customHeight="1">
      <c r="B2" s="9" t="s">
        <v>0</v>
      </c>
      <c r="C2" s="10"/>
      <c r="D2" s="11"/>
      <c r="E2" s="11"/>
      <c r="F2" s="11"/>
      <c r="G2" s="1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2:53" ht="14.4">
      <c r="B3" s="2" t="s">
        <v>1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2:53" ht="14.4">
      <c r="B4" s="2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2:53" ht="14.4">
      <c r="B5" s="4" t="s">
        <v>2</v>
      </c>
      <c r="C5" s="5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2:53" ht="14.4">
      <c r="B6" s="4" t="s">
        <v>4</v>
      </c>
      <c r="C6" s="6">
        <v>46285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2:53" ht="14.4">
      <c r="B7" s="4" t="s">
        <v>5</v>
      </c>
      <c r="C7" s="5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2:53" ht="14.4">
      <c r="B8" s="4" t="s">
        <v>7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2:53" ht="14.4">
      <c r="B9" s="4" t="s">
        <v>9</v>
      </c>
      <c r="C9" s="5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2:53" ht="14.4">
      <c r="B10" s="4" t="s">
        <v>11</v>
      </c>
      <c r="C10" s="5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2:53" ht="14.4">
      <c r="B11" s="4" t="s">
        <v>13</v>
      </c>
      <c r="C11" s="5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2:53" ht="14.4">
      <c r="B12" s="4" t="s">
        <v>46</v>
      </c>
      <c r="C12" s="5" t="s">
        <v>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2:53" ht="14.4">
      <c r="B13" s="4" t="s">
        <v>48</v>
      </c>
      <c r="C13" s="5" t="s">
        <v>49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2:53" ht="14.4">
      <c r="B14" s="4" t="s">
        <v>50</v>
      </c>
      <c r="C14" s="5" t="s">
        <v>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2:53" ht="14.4">
      <c r="B15" s="4" t="s">
        <v>52</v>
      </c>
      <c r="C15" s="7" t="s">
        <v>53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2:53" ht="14.4">
      <c r="B16" s="12"/>
      <c r="C16" s="12"/>
      <c r="D16" s="13"/>
      <c r="E16" s="13"/>
      <c r="F16" s="13"/>
      <c r="G16" s="13"/>
      <c r="H16" s="13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2:53" ht="26.4">
      <c r="B17" s="8" t="s">
        <v>54</v>
      </c>
      <c r="C17" s="8" t="s">
        <v>55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2:53" ht="14.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2:53" ht="14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2:53" ht="14.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2:53" ht="14.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2:53" ht="14.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2:53" ht="14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2:53" ht="14.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2:53" ht="14.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2:53" ht="14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2:53" ht="14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2:53" ht="14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2:53" ht="14.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2:53" ht="14.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2:53" ht="14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2:53" ht="14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2:53" ht="14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2:53" ht="14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2:53" ht="14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2:53" ht="14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2:53" ht="14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2:53" ht="14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2:53" ht="14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2:53" ht="14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2:53" ht="14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2:53" ht="14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2:53" ht="14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2:53" ht="14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2:53" ht="14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2:53" ht="14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2:53" ht="14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2:53" ht="14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2:53" ht="14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2:53" ht="14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2:53" ht="14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2:53" ht="14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2:53" ht="14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2:53" ht="14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2:53" ht="14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2:53" ht="14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2:53" ht="14.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2:53" ht="14.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2:53" ht="14.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2:53" ht="14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2:53" ht="14.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2:53" ht="14.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2:53" ht="14.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2:53" ht="14.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2:53" ht="14.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2:53" ht="14.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2:53" ht="14.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2:53" ht="14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2:53" ht="14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2:53" ht="14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2:53" ht="14.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2:53" ht="14.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2:53" ht="14.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2:53" ht="14.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2:53" ht="14.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2:53" ht="14.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2:53" ht="14.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2:53" ht="14.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2:53" ht="14.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2:53" ht="14.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2:53" ht="14.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2:53" ht="14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2:53" ht="14.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2:53" ht="14.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2:53" ht="14.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2:53" ht="14.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2:53" ht="14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2:53" ht="14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2:53" ht="14.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2:53" ht="14.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2:53" ht="14.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2:53" ht="14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2:53" ht="14.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2:53" ht="14.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2:53" ht="14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2:53" ht="14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2:53" ht="14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2:53" ht="14.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2:53" ht="14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2:53" ht="14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2:53" ht="14.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2:53" ht="14.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2:53" ht="14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2:53" ht="14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2:53" ht="14.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2:53" ht="14.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2:53" ht="14.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2:53" ht="14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2:53" ht="14.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2:53" ht="14.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2:53" ht="14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2:53" ht="14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2:53" ht="14.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2:53" ht="14.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2:53" ht="14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2:53" ht="14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2:53" ht="14.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2:53" ht="14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2:53" ht="14.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2:53" ht="14.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2:53" ht="14.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2:53" ht="14.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2:53" ht="14.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2:53" ht="14.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2:53" ht="14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2:53" ht="14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2:53" ht="14.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2:53" ht="14.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2:53" ht="14.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2:53" ht="14.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2:53" ht="14.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2:53" ht="14.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2:53" ht="14.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2:53" ht="14.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2:53" ht="14.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2:53" ht="14.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2:53" ht="14.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2:53" ht="14.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2:53" ht="14.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2:53" ht="14.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2:53" ht="14.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2:53" ht="14.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2:53" ht="14.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2:53" ht="14.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2:53" ht="14.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2:53" ht="14.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2:53" ht="14.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2:53" ht="14.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2:53" ht="14.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2:53" ht="14.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2:53" ht="14.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2:53" ht="14.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2:53" ht="14.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2:53" ht="14.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2:53" ht="14.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2:53" ht="14.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2:53" ht="14.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2:53" ht="14.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2:53" ht="14.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2:53" ht="14.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2:53" ht="14.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2:53" ht="14.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2:53" ht="14.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2:53" ht="14.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2:53" ht="14.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2:53" ht="14.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2:53" ht="14.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2:53" ht="14.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2:53" ht="14.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2:53" ht="14.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2:53" ht="14.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2:53" ht="14.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2:53" ht="14.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2:53" ht="14.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2:53" ht="14.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2:53" ht="14.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2:53" ht="14.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2:53" ht="14.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2:53" ht="14.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2:53" ht="14.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2:53" ht="14.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2:53" ht="14.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2:53" ht="14.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2:53" ht="14.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2:53" ht="14.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2:53" ht="14.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2:53" ht="14.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2:53" ht="14.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2:53" ht="14.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2:53" ht="14.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2:53" ht="14.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2:53" ht="14.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2:53" ht="14.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2:53" ht="14.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2:53" ht="14.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2:53" ht="14.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2:53" ht="14.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2:53" ht="14.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2:53" ht="14.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2:53" ht="14.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2:53" ht="14.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2:53" ht="14.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</sheetData>
  <mergeCells count="2">
    <mergeCell ref="B2:I2"/>
    <mergeCell ref="B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0"/>
  <sheetViews>
    <sheetView showGridLines="0" workbookViewId="0">
      <pane ySplit="3" topLeftCell="A4" activePane="bottomLeft" state="frozen"/>
      <selection pane="bottomLeft" sqref="A1:H1"/>
    </sheetView>
  </sheetViews>
  <sheetFormatPr defaultRowHeight="14.4"/>
  <cols>
    <col min="1" max="1" width="32" style="18" customWidth="1"/>
    <col min="2" max="2" width="9.09765625" style="18" customWidth="1"/>
    <col min="3" max="3" width="22" style="18" customWidth="1"/>
    <col min="4" max="4" width="28" style="18" customWidth="1"/>
    <col min="5" max="5" width="13" style="18" customWidth="1"/>
    <col min="6" max="6" width="18" style="18" customWidth="1"/>
    <col min="7" max="7" width="13.8984375" style="18" customWidth="1"/>
    <col min="8" max="16384" width="8.796875" style="18"/>
  </cols>
  <sheetData>
    <row r="1" spans="1:52" ht="24" customHeight="1">
      <c r="A1" s="14" t="s">
        <v>56</v>
      </c>
      <c r="B1" s="15"/>
      <c r="C1" s="15"/>
      <c r="D1" s="15"/>
      <c r="E1" s="15"/>
      <c r="F1" s="15"/>
      <c r="G1" s="15"/>
      <c r="H1" s="1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9"/>
      <c r="B2" s="19"/>
      <c r="C2" s="19"/>
      <c r="D2" s="19"/>
      <c r="E2" s="19"/>
      <c r="F2" s="19"/>
      <c r="G2" s="19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>
      <c r="A3" s="20" t="s">
        <v>57</v>
      </c>
      <c r="B3" s="21" t="s">
        <v>58</v>
      </c>
      <c r="C3" s="19" t="s">
        <v>59</v>
      </c>
      <c r="D3" s="19"/>
      <c r="E3" s="19"/>
      <c r="F3" s="19"/>
      <c r="G3" s="19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19"/>
      <c r="B4" s="19"/>
      <c r="C4" s="19"/>
      <c r="D4" s="19"/>
      <c r="E4" s="19"/>
      <c r="F4" s="19"/>
      <c r="G4" s="19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 ht="30" customHeight="1">
      <c r="A5" s="22" t="s">
        <v>60</v>
      </c>
      <c r="B5" s="22" t="s">
        <v>61</v>
      </c>
      <c r="C5" s="22" t="s">
        <v>62</v>
      </c>
      <c r="D5" s="22" t="s">
        <v>63</v>
      </c>
      <c r="E5" s="19"/>
      <c r="F5" s="19"/>
      <c r="G5" s="19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19" t="s">
        <v>64</v>
      </c>
      <c r="B6" s="23">
        <f>INDEX(Scenarios!$B$4:$B$6,MATCH($B$3,Scenarios!$A$4:$A$6,0))</f>
        <v>0</v>
      </c>
      <c r="C6" s="19" t="s">
        <v>65</v>
      </c>
      <c r="D6" s="19" t="s">
        <v>66</v>
      </c>
      <c r="E6" s="19"/>
      <c r="F6" s="19"/>
      <c r="G6" s="19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19" t="s">
        <v>67</v>
      </c>
      <c r="B7" s="23">
        <f>INDEX(Scenarios!$C$4:$C$6,MATCH($B$3,Scenarios!$A$4:$A$6,0))</f>
        <v>0.05</v>
      </c>
      <c r="C7" s="19" t="s">
        <v>68</v>
      </c>
      <c r="D7" s="19" t="s">
        <v>66</v>
      </c>
      <c r="E7" s="19"/>
      <c r="F7" s="19"/>
      <c r="G7" s="19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19" t="s">
        <v>69</v>
      </c>
      <c r="B8" s="23">
        <f>INDEX(Scenarios!$D$4:$D$6,MATCH($B$3,Scenarios!$A$4:$A$6,0))</f>
        <v>0.06</v>
      </c>
      <c r="C8" s="19" t="s">
        <v>68</v>
      </c>
      <c r="D8" s="19" t="s">
        <v>66</v>
      </c>
      <c r="E8" s="19"/>
      <c r="F8" s="19"/>
      <c r="G8" s="19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19" t="s">
        <v>70</v>
      </c>
      <c r="B9" s="23">
        <f>INDEX(Scenarios!$E$4:$E$6,MATCH($B$3,Scenarios!$A$4:$A$6,0))</f>
        <v>0.05</v>
      </c>
      <c r="C9" s="19" t="s">
        <v>68</v>
      </c>
      <c r="D9" s="19" t="s">
        <v>66</v>
      </c>
      <c r="E9" s="19"/>
      <c r="F9" s="19"/>
      <c r="G9" s="19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19" t="s">
        <v>71</v>
      </c>
      <c r="B10" s="23">
        <f>INDEX(Scenarios!$F$4:$F$6,MATCH($B$3,Scenarios!$A$4:$A$6,0))</f>
        <v>0.04</v>
      </c>
      <c r="C10" s="19" t="s">
        <v>68</v>
      </c>
      <c r="D10" s="19" t="s">
        <v>66</v>
      </c>
      <c r="E10" s="19"/>
      <c r="F10" s="19"/>
      <c r="G10" s="19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19"/>
      <c r="B11" s="19"/>
      <c r="C11" s="19"/>
      <c r="D11" s="19"/>
      <c r="E11" s="19"/>
      <c r="F11" s="19"/>
      <c r="G11" s="19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 ht="30" customHeight="1">
      <c r="A12" s="22" t="s">
        <v>19</v>
      </c>
      <c r="B12" s="22" t="s">
        <v>72</v>
      </c>
      <c r="C12" s="22" t="s">
        <v>73</v>
      </c>
      <c r="D12" s="22" t="s">
        <v>74</v>
      </c>
      <c r="E12" s="22" t="s">
        <v>23</v>
      </c>
      <c r="F12" s="22" t="s">
        <v>75</v>
      </c>
      <c r="G12" s="22" t="s">
        <v>76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19" t="s">
        <v>38</v>
      </c>
      <c r="B13" s="24">
        <v>145</v>
      </c>
      <c r="C13" s="25">
        <v>0.82</v>
      </c>
      <c r="D13" s="25">
        <v>0.78</v>
      </c>
      <c r="E13" s="26">
        <v>2250</v>
      </c>
      <c r="F13" s="27">
        <v>0.115</v>
      </c>
      <c r="G13" s="27">
        <v>0.01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19" t="s">
        <v>39</v>
      </c>
      <c r="B14" s="24">
        <v>125</v>
      </c>
      <c r="C14" s="25">
        <v>0.84</v>
      </c>
      <c r="D14" s="25">
        <v>0.8</v>
      </c>
      <c r="E14" s="26">
        <v>2400</v>
      </c>
      <c r="F14" s="27">
        <v>0.12</v>
      </c>
      <c r="G14" s="27">
        <v>1.0999999999999999E-2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19" t="s">
        <v>40</v>
      </c>
      <c r="B15" s="24">
        <v>95</v>
      </c>
      <c r="C15" s="25">
        <v>0.86</v>
      </c>
      <c r="D15" s="25">
        <v>0.82</v>
      </c>
      <c r="E15" s="26">
        <v>2600</v>
      </c>
      <c r="F15" s="27">
        <v>0.13</v>
      </c>
      <c r="G15" s="27">
        <v>1.2E-2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19" t="s">
        <v>41</v>
      </c>
      <c r="B16" s="24">
        <v>180</v>
      </c>
      <c r="C16" s="25">
        <v>0.8</v>
      </c>
      <c r="D16" s="25">
        <v>0.76</v>
      </c>
      <c r="E16" s="26">
        <v>2100</v>
      </c>
      <c r="F16" s="27">
        <v>0.105</v>
      </c>
      <c r="G16" s="27">
        <v>8.9999999999999993E-3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9" t="s">
        <v>42</v>
      </c>
      <c r="B17" s="24">
        <v>155</v>
      </c>
      <c r="C17" s="25">
        <v>0.78</v>
      </c>
      <c r="D17" s="25">
        <v>0.74</v>
      </c>
      <c r="E17" s="26">
        <v>1950</v>
      </c>
      <c r="F17" s="27">
        <v>0.1</v>
      </c>
      <c r="G17" s="27">
        <v>8.0000000000000002E-3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28" t="s">
        <v>77</v>
      </c>
      <c r="B18" s="29">
        <f>SUM(B13:B17)</f>
        <v>700</v>
      </c>
      <c r="C18" s="28"/>
      <c r="D18" s="28"/>
      <c r="E18" s="28"/>
      <c r="F18" s="28"/>
      <c r="G18" s="2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9"/>
      <c r="B19" s="19"/>
      <c r="C19" s="19"/>
      <c r="D19" s="19"/>
      <c r="E19" s="19"/>
      <c r="F19" s="19"/>
      <c r="G19" s="19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ht="30" customHeight="1">
      <c r="A20" s="22" t="s">
        <v>78</v>
      </c>
      <c r="B20" s="22" t="s">
        <v>61</v>
      </c>
      <c r="C20" s="19"/>
      <c r="D20" s="19"/>
      <c r="E20" s="19"/>
      <c r="F20" s="19"/>
      <c r="G20" s="19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9" t="s">
        <v>79</v>
      </c>
      <c r="B21" s="30">
        <v>160</v>
      </c>
      <c r="C21" s="19"/>
      <c r="D21" s="19"/>
      <c r="E21" s="19"/>
      <c r="F21" s="19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9" t="s">
        <v>80</v>
      </c>
      <c r="B22" s="25">
        <v>0.1</v>
      </c>
      <c r="C22" s="19"/>
      <c r="D22" s="19"/>
      <c r="E22" s="19"/>
      <c r="F22" s="19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9" t="s">
        <v>81</v>
      </c>
      <c r="B23" s="25">
        <v>7.4999999999999997E-2</v>
      </c>
      <c r="C23" s="19"/>
      <c r="D23" s="19"/>
      <c r="E23" s="19"/>
      <c r="F23" s="19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9" t="s">
        <v>82</v>
      </c>
      <c r="B24" s="30">
        <v>6.0000000000000001E-3</v>
      </c>
      <c r="C24" s="19"/>
      <c r="D24" s="19"/>
      <c r="E24" s="19"/>
      <c r="F24" s="19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9" t="s">
        <v>83</v>
      </c>
      <c r="B25" s="25">
        <v>4.4999999999999998E-2</v>
      </c>
      <c r="C25" s="19"/>
      <c r="D25" s="19"/>
      <c r="E25" s="19"/>
      <c r="F25" s="19"/>
      <c r="G25" s="19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9"/>
      <c r="B26" s="19"/>
      <c r="C26" s="19"/>
      <c r="D26" s="19"/>
      <c r="E26" s="19"/>
      <c r="F26" s="19"/>
      <c r="G26" s="19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 ht="30" customHeight="1">
      <c r="A27" s="22" t="s">
        <v>84</v>
      </c>
      <c r="B27" s="22" t="s">
        <v>61</v>
      </c>
      <c r="C27" s="19"/>
      <c r="D27" s="19"/>
      <c r="E27" s="19"/>
      <c r="F27" s="19"/>
      <c r="G27" s="19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19" t="s">
        <v>71</v>
      </c>
      <c r="B28" s="25">
        <v>0.02</v>
      </c>
      <c r="C28" s="19"/>
      <c r="D28" s="19"/>
      <c r="E28" s="19"/>
      <c r="F28" s="19"/>
      <c r="G28" s="19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9" t="s">
        <v>80</v>
      </c>
      <c r="B29" s="25">
        <v>0.1</v>
      </c>
      <c r="C29" s="19"/>
      <c r="D29" s="19"/>
      <c r="E29" s="19"/>
      <c r="F29" s="19"/>
      <c r="G29" s="19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9" t="s">
        <v>64</v>
      </c>
      <c r="B30" s="25">
        <v>-0.01</v>
      </c>
      <c r="C30" s="19"/>
      <c r="D30" s="19"/>
      <c r="E30" s="19"/>
      <c r="F30" s="19"/>
      <c r="G30" s="19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9" t="s">
        <v>67</v>
      </c>
      <c r="B31" s="25">
        <v>0.03</v>
      </c>
      <c r="C31" s="19"/>
      <c r="D31" s="19"/>
      <c r="E31" s="19"/>
      <c r="F31" s="19"/>
      <c r="G31" s="19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9" t="s">
        <v>69</v>
      </c>
      <c r="B32" s="25">
        <v>0.05</v>
      </c>
      <c r="C32" s="19"/>
      <c r="D32" s="19"/>
      <c r="E32" s="19"/>
      <c r="F32" s="19"/>
      <c r="G32" s="19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9" t="s">
        <v>70</v>
      </c>
      <c r="B33" s="25">
        <v>0.04</v>
      </c>
      <c r="C33" s="19"/>
      <c r="D33" s="19"/>
      <c r="E33" s="19"/>
      <c r="F33" s="19"/>
      <c r="G33" s="19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9" t="s">
        <v>81</v>
      </c>
      <c r="B34" s="25">
        <v>7.4999999999999997E-2</v>
      </c>
      <c r="C34" s="19"/>
      <c r="D34" s="19"/>
      <c r="E34" s="19"/>
      <c r="F34" s="19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9" t="s">
        <v>82</v>
      </c>
      <c r="B35" s="25">
        <v>6.0000000000000001E-3</v>
      </c>
      <c r="C35" s="19"/>
      <c r="D35" s="19"/>
      <c r="E35" s="19"/>
      <c r="F35" s="19"/>
      <c r="G35" s="19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9" t="s">
        <v>85</v>
      </c>
      <c r="B36" s="30">
        <v>4.4999999999999998E-2</v>
      </c>
      <c r="C36" s="19"/>
      <c r="D36" s="19"/>
      <c r="E36" s="19"/>
      <c r="F36" s="19"/>
      <c r="G36" s="19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H1"/>
  </mergeCells>
  <dataValidations count="1">
    <dataValidation type="list" sqref="B3" xr:uid="{00000000-0002-0000-0100-000000000000}">
      <formula1>"Base,Upside,Downside"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"/>
  <sheetViews>
    <sheetView showGridLines="0" workbookViewId="0">
      <pane ySplit="3" topLeftCell="A4" activePane="bottomLeft" state="frozen"/>
      <selection pane="bottomLeft" sqref="A1:U1"/>
    </sheetView>
  </sheetViews>
  <sheetFormatPr defaultRowHeight="14.4"/>
  <cols>
    <col min="1" max="3" width="15" style="42" customWidth="1"/>
    <col min="4" max="4" width="25" style="42" customWidth="1"/>
    <col min="5" max="21" width="15" style="42" customWidth="1"/>
    <col min="22" max="16384" width="8.796875" style="42"/>
  </cols>
  <sheetData>
    <row r="1" spans="1:52" s="18" customFormat="1" ht="22.35" customHeight="1">
      <c r="A1" s="14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18" customForma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32"/>
      <c r="S2" s="32"/>
      <c r="T2" s="17"/>
      <c r="U2" s="1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s="18" customFormat="1" ht="27.6">
      <c r="A3" s="33" t="s">
        <v>16</v>
      </c>
      <c r="B3" s="34" t="s">
        <v>17</v>
      </c>
      <c r="C3" s="34" t="s">
        <v>18</v>
      </c>
      <c r="D3" s="34" t="s">
        <v>19</v>
      </c>
      <c r="E3" s="34" t="s">
        <v>20</v>
      </c>
      <c r="F3" s="34" t="s">
        <v>21</v>
      </c>
      <c r="G3" s="34" t="s">
        <v>22</v>
      </c>
      <c r="H3" s="34" t="s">
        <v>23</v>
      </c>
      <c r="I3" s="34" t="s">
        <v>24</v>
      </c>
      <c r="J3" s="34" t="s">
        <v>25</v>
      </c>
      <c r="K3" s="34" t="s">
        <v>26</v>
      </c>
      <c r="L3" s="34" t="s">
        <v>27</v>
      </c>
      <c r="M3" s="34" t="s">
        <v>28</v>
      </c>
      <c r="N3" s="34" t="s">
        <v>29</v>
      </c>
      <c r="O3" s="34" t="s">
        <v>30</v>
      </c>
      <c r="P3" s="34" t="s">
        <v>31</v>
      </c>
      <c r="Q3" s="34" t="s">
        <v>32</v>
      </c>
      <c r="R3" s="34" t="s">
        <v>33</v>
      </c>
      <c r="S3" s="34" t="s">
        <v>34</v>
      </c>
      <c r="T3" s="34" t="s">
        <v>35</v>
      </c>
      <c r="U3" s="35" t="s">
        <v>36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36">
        <v>45658</v>
      </c>
      <c r="B4" s="37">
        <v>2025</v>
      </c>
      <c r="C4" s="37" t="s">
        <v>37</v>
      </c>
      <c r="D4" s="37" t="s">
        <v>38</v>
      </c>
      <c r="E4" s="37">
        <v>120</v>
      </c>
      <c r="F4" s="37">
        <v>98</v>
      </c>
      <c r="G4" s="38">
        <v>0.75718132423733064</v>
      </c>
      <c r="H4" s="39">
        <v>2050</v>
      </c>
      <c r="I4" s="40">
        <v>24.338836486284755</v>
      </c>
      <c r="J4" s="40">
        <v>12.6</v>
      </c>
      <c r="K4" s="40">
        <v>1.5820243716085092</v>
      </c>
      <c r="L4" s="40">
        <v>1.0799999999999998</v>
      </c>
      <c r="M4" s="40">
        <v>0.65999999999999992</v>
      </c>
      <c r="N4" s="40">
        <v>0.29206603783541707</v>
      </c>
      <c r="O4" s="40">
        <v>0.19471069189027804</v>
      </c>
      <c r="P4" s="40">
        <v>0.38942138378055607</v>
      </c>
      <c r="Q4" s="40">
        <v>16.79822248511476</v>
      </c>
      <c r="R4" s="40">
        <v>10.156812114676246</v>
      </c>
      <c r="S4" s="38">
        <v>0.41730886028178621</v>
      </c>
      <c r="T4" s="40">
        <v>7.5406140011699954</v>
      </c>
      <c r="U4" s="38">
        <v>0.30981817908260434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>
      <c r="A5" s="36">
        <v>45658</v>
      </c>
      <c r="B5" s="37">
        <v>2025</v>
      </c>
      <c r="C5" s="37" t="s">
        <v>37</v>
      </c>
      <c r="D5" s="37" t="s">
        <v>39</v>
      </c>
      <c r="E5" s="37">
        <v>102</v>
      </c>
      <c r="F5" s="37">
        <v>85</v>
      </c>
      <c r="G5" s="38">
        <v>0.77441358678279204</v>
      </c>
      <c r="H5" s="39">
        <v>2200</v>
      </c>
      <c r="I5" s="40">
        <v>23.170454516541138</v>
      </c>
      <c r="J5" s="40">
        <v>11.22</v>
      </c>
      <c r="K5" s="40">
        <v>1.5987613616413388</v>
      </c>
      <c r="L5" s="40">
        <v>1.02</v>
      </c>
      <c r="M5" s="40">
        <v>0.56099999999999994</v>
      </c>
      <c r="N5" s="40">
        <v>0.27804545419849369</v>
      </c>
      <c r="O5" s="40">
        <v>0.18536363613232912</v>
      </c>
      <c r="P5" s="40">
        <v>0.37072727226465824</v>
      </c>
      <c r="Q5" s="40">
        <v>15.233897724236821</v>
      </c>
      <c r="R5" s="40">
        <v>10.351693154899799</v>
      </c>
      <c r="S5" s="38">
        <v>0.44676262813531931</v>
      </c>
      <c r="T5" s="40">
        <v>7.9365567923043177</v>
      </c>
      <c r="U5" s="38">
        <v>0.3425291802816598</v>
      </c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>
      <c r="A6" s="36">
        <v>45658</v>
      </c>
      <c r="B6" s="37">
        <v>2025</v>
      </c>
      <c r="C6" s="37" t="s">
        <v>37</v>
      </c>
      <c r="D6" s="37" t="s">
        <v>40</v>
      </c>
      <c r="E6" s="37">
        <v>76</v>
      </c>
      <c r="F6" s="37">
        <v>65</v>
      </c>
      <c r="G6" s="38">
        <v>0.80241495156863774</v>
      </c>
      <c r="H6" s="39">
        <v>2400</v>
      </c>
      <c r="I6" s="40">
        <v>20.028277191153197</v>
      </c>
      <c r="J6" s="40">
        <v>9.1199999999999992</v>
      </c>
      <c r="K6" s="40">
        <v>1.4620642349541837</v>
      </c>
      <c r="L6" s="40">
        <v>0.83599999999999997</v>
      </c>
      <c r="M6" s="40">
        <v>0.41799999999999998</v>
      </c>
      <c r="N6" s="40">
        <v>0.24033932629383836</v>
      </c>
      <c r="O6" s="40">
        <v>0.16022621752922558</v>
      </c>
      <c r="P6" s="40">
        <v>0.32045243505845117</v>
      </c>
      <c r="Q6" s="40">
        <v>12.557082213835699</v>
      </c>
      <c r="R6" s="40">
        <v>9.4462129561990142</v>
      </c>
      <c r="S6" s="38">
        <v>0.4716438097017927</v>
      </c>
      <c r="T6" s="40">
        <v>7.4711949773174986</v>
      </c>
      <c r="U6" s="38">
        <v>0.37303233353578918</v>
      </c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>
      <c r="A7" s="36">
        <v>45658</v>
      </c>
      <c r="B7" s="37">
        <v>2025</v>
      </c>
      <c r="C7" s="37" t="s">
        <v>37</v>
      </c>
      <c r="D7" s="37" t="s">
        <v>41</v>
      </c>
      <c r="E7" s="37">
        <v>155</v>
      </c>
      <c r="F7" s="37">
        <v>122</v>
      </c>
      <c r="G7" s="38">
        <v>0.73315898058668072</v>
      </c>
      <c r="H7" s="39">
        <v>1950</v>
      </c>
      <c r="I7" s="40">
        <v>27.906963437051417</v>
      </c>
      <c r="J7" s="40">
        <v>14.88</v>
      </c>
      <c r="K7" s="40">
        <v>2.1488361846529589</v>
      </c>
      <c r="L7" s="40">
        <v>1.24</v>
      </c>
      <c r="M7" s="40">
        <v>0.85249999999999992</v>
      </c>
      <c r="N7" s="40">
        <v>0.33488356124461699</v>
      </c>
      <c r="O7" s="40">
        <v>0.22325570749641133</v>
      </c>
      <c r="P7" s="40">
        <v>0.44651141499282265</v>
      </c>
      <c r="Q7" s="40">
        <v>20.125986868386807</v>
      </c>
      <c r="R7" s="40">
        <v>10.878127252398457</v>
      </c>
      <c r="S7" s="38">
        <v>0.3897997457493288</v>
      </c>
      <c r="T7" s="40">
        <v>7.7809765686646095</v>
      </c>
      <c r="U7" s="38">
        <v>0.27881845999532828</v>
      </c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>
      <c r="A8" s="36">
        <v>45658</v>
      </c>
      <c r="B8" s="37">
        <v>2025</v>
      </c>
      <c r="C8" s="37" t="s">
        <v>37</v>
      </c>
      <c r="D8" s="37" t="s">
        <v>42</v>
      </c>
      <c r="E8" s="37">
        <v>132</v>
      </c>
      <c r="F8" s="37">
        <v>102</v>
      </c>
      <c r="G8" s="38">
        <v>0.72057411206890698</v>
      </c>
      <c r="H8" s="39">
        <v>1800</v>
      </c>
      <c r="I8" s="40">
        <v>21.167585116136213</v>
      </c>
      <c r="J8" s="40">
        <v>12.144</v>
      </c>
      <c r="K8" s="40">
        <v>1.7145743944070333</v>
      </c>
      <c r="L8" s="40">
        <v>0.92400000000000004</v>
      </c>
      <c r="M8" s="40">
        <v>0.72599999999999998</v>
      </c>
      <c r="N8" s="40">
        <v>0.25401102139363457</v>
      </c>
      <c r="O8" s="40">
        <v>0.16934068092908972</v>
      </c>
      <c r="P8" s="40">
        <v>0.33868136185817943</v>
      </c>
      <c r="Q8" s="40">
        <v>16.270607458587936</v>
      </c>
      <c r="R8" s="40">
        <v>7.3090107217291784</v>
      </c>
      <c r="S8" s="38">
        <v>0.3452926104526427</v>
      </c>
      <c r="T8" s="40">
        <v>4.8969776575482769</v>
      </c>
      <c r="U8" s="38">
        <v>0.23134323687283881</v>
      </c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>
      <c r="A9" s="36">
        <v>45689</v>
      </c>
      <c r="B9" s="37">
        <v>2025</v>
      </c>
      <c r="C9" s="37" t="s">
        <v>37</v>
      </c>
      <c r="D9" s="37" t="s">
        <v>38</v>
      </c>
      <c r="E9" s="37">
        <v>121</v>
      </c>
      <c r="F9" s="37">
        <v>99</v>
      </c>
      <c r="G9" s="38">
        <v>0.75935102267060128</v>
      </c>
      <c r="H9" s="39">
        <v>2054.1</v>
      </c>
      <c r="I9" s="40">
        <v>24.706961700976084</v>
      </c>
      <c r="J9" s="40">
        <v>12.705</v>
      </c>
      <c r="K9" s="40">
        <v>1.6059525105634456</v>
      </c>
      <c r="L9" s="40">
        <v>1.089</v>
      </c>
      <c r="M9" s="40">
        <v>0.66549999999999998</v>
      </c>
      <c r="N9" s="40">
        <v>0.37060442551464123</v>
      </c>
      <c r="O9" s="40">
        <v>0.19765569360780869</v>
      </c>
      <c r="P9" s="40">
        <v>0.39531138721561737</v>
      </c>
      <c r="Q9" s="40">
        <v>17.029024016901516</v>
      </c>
      <c r="R9" s="40">
        <v>10.396009190412638</v>
      </c>
      <c r="S9" s="38">
        <v>0.42077246551938147</v>
      </c>
      <c r="T9" s="40">
        <v>7.6779376840745677</v>
      </c>
      <c r="U9" s="38">
        <v>0.31076009171015306</v>
      </c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>
      <c r="A10" s="36">
        <v>45689</v>
      </c>
      <c r="B10" s="37">
        <v>2025</v>
      </c>
      <c r="C10" s="37" t="s">
        <v>37</v>
      </c>
      <c r="D10" s="37" t="s">
        <v>39</v>
      </c>
      <c r="E10" s="37">
        <v>103</v>
      </c>
      <c r="F10" s="37">
        <v>85</v>
      </c>
      <c r="G10" s="38">
        <v>0.77442798279639524</v>
      </c>
      <c r="H10" s="39">
        <v>2204.4</v>
      </c>
      <c r="I10" s="40">
        <v>23.217227015758681</v>
      </c>
      <c r="J10" s="40">
        <v>11.33</v>
      </c>
      <c r="K10" s="40">
        <v>1.6019886640873491</v>
      </c>
      <c r="L10" s="40">
        <v>1.03</v>
      </c>
      <c r="M10" s="40">
        <v>0.5665</v>
      </c>
      <c r="N10" s="40">
        <v>0.34825840523638019</v>
      </c>
      <c r="O10" s="40">
        <v>0.18573781612606946</v>
      </c>
      <c r="P10" s="40">
        <v>0.37147563225213892</v>
      </c>
      <c r="Q10" s="40">
        <v>15.433960517701937</v>
      </c>
      <c r="R10" s="40">
        <v>10.285238351671332</v>
      </c>
      <c r="S10" s="38">
        <v>0.44300029218348219</v>
      </c>
      <c r="T10" s="40">
        <v>7.7832664980567436</v>
      </c>
      <c r="U10" s="38">
        <v>0.33523669699115471</v>
      </c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>
      <c r="A11" s="36">
        <v>45689</v>
      </c>
      <c r="B11" s="37">
        <v>2025</v>
      </c>
      <c r="C11" s="37" t="s">
        <v>37</v>
      </c>
      <c r="D11" s="37" t="s">
        <v>40</v>
      </c>
      <c r="E11" s="37">
        <v>77</v>
      </c>
      <c r="F11" s="37">
        <v>65</v>
      </c>
      <c r="G11" s="38">
        <v>0.80161897173103069</v>
      </c>
      <c r="H11" s="39">
        <v>2404.8000000000002</v>
      </c>
      <c r="I11" s="40">
        <v>20.048426353475339</v>
      </c>
      <c r="J11" s="40">
        <v>9.24</v>
      </c>
      <c r="K11" s="40">
        <v>1.4635351238037</v>
      </c>
      <c r="L11" s="40">
        <v>0.84699999999999998</v>
      </c>
      <c r="M11" s="40">
        <v>0.42349999999999999</v>
      </c>
      <c r="N11" s="40">
        <v>0.30072639530213008</v>
      </c>
      <c r="O11" s="40">
        <v>0.16038741082780272</v>
      </c>
      <c r="P11" s="40">
        <v>0.32077482165560545</v>
      </c>
      <c r="Q11" s="40">
        <v>12.755923751589238</v>
      </c>
      <c r="R11" s="40">
        <v>9.3448912296716387</v>
      </c>
      <c r="S11" s="38">
        <v>0.46611594670380341</v>
      </c>
      <c r="T11" s="40">
        <v>7.2925026018861008</v>
      </c>
      <c r="U11" s="38">
        <v>0.3637443893755764</v>
      </c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>
      <c r="A12" s="36">
        <v>45689</v>
      </c>
      <c r="B12" s="37">
        <v>2025</v>
      </c>
      <c r="C12" s="37" t="s">
        <v>37</v>
      </c>
      <c r="D12" s="37" t="s">
        <v>41</v>
      </c>
      <c r="E12" s="37">
        <v>157</v>
      </c>
      <c r="F12" s="37">
        <v>124</v>
      </c>
      <c r="G12" s="38">
        <v>0.73409993053507172</v>
      </c>
      <c r="H12" s="39">
        <v>1953.9</v>
      </c>
      <c r="I12" s="40">
        <v>28.457659828765937</v>
      </c>
      <c r="J12" s="40">
        <v>15.072000000000001</v>
      </c>
      <c r="K12" s="40">
        <v>2.191239806814977</v>
      </c>
      <c r="L12" s="40">
        <v>1.256</v>
      </c>
      <c r="M12" s="40">
        <v>0.86349999999999993</v>
      </c>
      <c r="N12" s="40">
        <v>0.42686489743148903</v>
      </c>
      <c r="O12" s="40">
        <v>0.2276612786301275</v>
      </c>
      <c r="P12" s="40">
        <v>0.455322557260255</v>
      </c>
      <c r="Q12" s="40">
        <v>20.49258854013685</v>
      </c>
      <c r="R12" s="40">
        <v>11.194420021950958</v>
      </c>
      <c r="S12" s="38">
        <v>0.39337106737902849</v>
      </c>
      <c r="T12" s="40">
        <v>7.9650712886290869</v>
      </c>
      <c r="U12" s="38">
        <v>0.27989199872920439</v>
      </c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>
      <c r="A13" s="36">
        <v>45689</v>
      </c>
      <c r="B13" s="37">
        <v>2025</v>
      </c>
      <c r="C13" s="37" t="s">
        <v>37</v>
      </c>
      <c r="D13" s="37" t="s">
        <v>42</v>
      </c>
      <c r="E13" s="37">
        <v>134</v>
      </c>
      <c r="F13" s="37">
        <v>103</v>
      </c>
      <c r="G13" s="38">
        <v>0.7204383309385981</v>
      </c>
      <c r="H13" s="39">
        <v>1803.6</v>
      </c>
      <c r="I13" s="40">
        <v>21.413824814260497</v>
      </c>
      <c r="J13" s="40">
        <v>12.327999999999999</v>
      </c>
      <c r="K13" s="40">
        <v>1.7345198099551002</v>
      </c>
      <c r="L13" s="40">
        <v>0.93800000000000006</v>
      </c>
      <c r="M13" s="40">
        <v>0.73699999999999999</v>
      </c>
      <c r="N13" s="40">
        <v>0.32120737221390744</v>
      </c>
      <c r="O13" s="40">
        <v>0.17131059851408398</v>
      </c>
      <c r="P13" s="40">
        <v>0.34262119702816796</v>
      </c>
      <c r="Q13" s="40">
        <v>16.57265897771126</v>
      </c>
      <c r="R13" s="40">
        <v>7.3513050043053969</v>
      </c>
      <c r="S13" s="38">
        <v>0.34329714883115175</v>
      </c>
      <c r="T13" s="40">
        <v>4.8411658365492372</v>
      </c>
      <c r="U13" s="38">
        <v>0.22607665274842781</v>
      </c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>
      <c r="A14" s="36">
        <v>45717</v>
      </c>
      <c r="B14" s="37">
        <v>2025</v>
      </c>
      <c r="C14" s="37" t="s">
        <v>37</v>
      </c>
      <c r="D14" s="37" t="s">
        <v>38</v>
      </c>
      <c r="E14" s="37">
        <v>122</v>
      </c>
      <c r="F14" s="37">
        <v>100</v>
      </c>
      <c r="G14" s="38">
        <v>0.75611768677719393</v>
      </c>
      <c r="H14" s="39">
        <v>2058.1999999999998</v>
      </c>
      <c r="I14" s="40">
        <v>24.899862766797128</v>
      </c>
      <c r="J14" s="40">
        <v>12.809999999999999</v>
      </c>
      <c r="K14" s="40">
        <v>1.6184910798418133</v>
      </c>
      <c r="L14" s="40">
        <v>1.0979999999999999</v>
      </c>
      <c r="M14" s="40">
        <v>0.67099999999999993</v>
      </c>
      <c r="N14" s="40">
        <v>0.37349794150195692</v>
      </c>
      <c r="O14" s="40">
        <v>0.19919890213437702</v>
      </c>
      <c r="P14" s="40">
        <v>0.39839780426875404</v>
      </c>
      <c r="Q14" s="40">
        <v>17.168585727746898</v>
      </c>
      <c r="R14" s="40">
        <v>10.471371686955315</v>
      </c>
      <c r="S14" s="38">
        <v>0.42053933328975729</v>
      </c>
      <c r="T14" s="40">
        <v>7.7312770390502301</v>
      </c>
      <c r="U14" s="38">
        <v>0.31049476502977147</v>
      </c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>
      <c r="A15" s="36">
        <v>45717</v>
      </c>
      <c r="B15" s="37">
        <v>2025</v>
      </c>
      <c r="C15" s="37" t="s">
        <v>37</v>
      </c>
      <c r="D15" s="37" t="s">
        <v>39</v>
      </c>
      <c r="E15" s="37">
        <v>104</v>
      </c>
      <c r="F15" s="37">
        <v>86</v>
      </c>
      <c r="G15" s="38">
        <v>0.77645140821350189</v>
      </c>
      <c r="H15" s="39">
        <v>2208.8000000000002</v>
      </c>
      <c r="I15" s="40">
        <v>23.598755977556888</v>
      </c>
      <c r="J15" s="40">
        <v>11.44</v>
      </c>
      <c r="K15" s="40">
        <v>1.6283141624514255</v>
      </c>
      <c r="L15" s="40">
        <v>1.04</v>
      </c>
      <c r="M15" s="40">
        <v>0.57199999999999995</v>
      </c>
      <c r="N15" s="40">
        <v>0.35398133966335332</v>
      </c>
      <c r="O15" s="40">
        <v>0.18879004782045511</v>
      </c>
      <c r="P15" s="40">
        <v>0.37758009564091022</v>
      </c>
      <c r="Q15" s="40">
        <v>15.600665645576141</v>
      </c>
      <c r="R15" s="40">
        <v>10.530441815105462</v>
      </c>
      <c r="S15" s="38">
        <v>0.44622868362723112</v>
      </c>
      <c r="T15" s="40">
        <v>7.9980903319807464</v>
      </c>
      <c r="U15" s="38">
        <v>0.33891999813834112</v>
      </c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>
      <c r="A16" s="36">
        <v>45717</v>
      </c>
      <c r="B16" s="37">
        <v>2025</v>
      </c>
      <c r="C16" s="37" t="s">
        <v>37</v>
      </c>
      <c r="D16" s="37" t="s">
        <v>40</v>
      </c>
      <c r="E16" s="37">
        <v>78</v>
      </c>
      <c r="F16" s="37">
        <v>66</v>
      </c>
      <c r="G16" s="38">
        <v>0.80179230702628024</v>
      </c>
      <c r="H16" s="39">
        <v>2409.6</v>
      </c>
      <c r="I16" s="40">
        <v>20.40190672619114</v>
      </c>
      <c r="J16" s="40">
        <v>9.36</v>
      </c>
      <c r="K16" s="40">
        <v>1.4893391910119533</v>
      </c>
      <c r="L16" s="40">
        <v>0.85799999999999998</v>
      </c>
      <c r="M16" s="40">
        <v>0.42899999999999999</v>
      </c>
      <c r="N16" s="40">
        <v>0.3060286008928671</v>
      </c>
      <c r="O16" s="40">
        <v>0.16321525380952911</v>
      </c>
      <c r="P16" s="40">
        <v>0.32643050761905823</v>
      </c>
      <c r="Q16" s="40">
        <v>12.932013553333409</v>
      </c>
      <c r="R16" s="40">
        <v>9.5525675351791861</v>
      </c>
      <c r="S16" s="38">
        <v>0.46821935142542281</v>
      </c>
      <c r="T16" s="40">
        <v>7.4698931728577307</v>
      </c>
      <c r="U16" s="38">
        <v>0.36613701224641837</v>
      </c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>
      <c r="A17" s="36">
        <v>45717</v>
      </c>
      <c r="B17" s="37">
        <v>2025</v>
      </c>
      <c r="C17" s="37" t="s">
        <v>37</v>
      </c>
      <c r="D17" s="37" t="s">
        <v>41</v>
      </c>
      <c r="E17" s="37">
        <v>158</v>
      </c>
      <c r="F17" s="37">
        <v>125</v>
      </c>
      <c r="G17" s="38">
        <v>0.74822963399475262</v>
      </c>
      <c r="H17" s="39">
        <v>1957.8</v>
      </c>
      <c r="I17" s="40">
        <v>29.297679548698532</v>
      </c>
      <c r="J17" s="40">
        <v>15.168000000000001</v>
      </c>
      <c r="K17" s="40">
        <v>2.2559213252497869</v>
      </c>
      <c r="L17" s="40">
        <v>1.264</v>
      </c>
      <c r="M17" s="40">
        <v>0.86899999999999999</v>
      </c>
      <c r="N17" s="40">
        <v>0.43946519323047795</v>
      </c>
      <c r="O17" s="40">
        <v>0.23438143638958828</v>
      </c>
      <c r="P17" s="40">
        <v>0.46876287277917655</v>
      </c>
      <c r="Q17" s="40">
        <v>20.699530827649028</v>
      </c>
      <c r="R17" s="40">
        <v>11.873758223448746</v>
      </c>
      <c r="S17" s="38">
        <v>0.40527981759484444</v>
      </c>
      <c r="T17" s="40">
        <v>8.5981487210495047</v>
      </c>
      <c r="U17" s="38">
        <v>0.29347541694411949</v>
      </c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>
      <c r="A18" s="36">
        <v>45717</v>
      </c>
      <c r="B18" s="37">
        <v>2025</v>
      </c>
      <c r="C18" s="37" t="s">
        <v>37</v>
      </c>
      <c r="D18" s="37" t="s">
        <v>42</v>
      </c>
      <c r="E18" s="37">
        <v>135</v>
      </c>
      <c r="F18" s="37">
        <v>104</v>
      </c>
      <c r="G18" s="38">
        <v>0.7169808313783943</v>
      </c>
      <c r="H18" s="39">
        <v>1807.2</v>
      </c>
      <c r="I18" s="40">
        <v>21.560909900891449</v>
      </c>
      <c r="J18" s="40">
        <v>12.42</v>
      </c>
      <c r="K18" s="40">
        <v>1.7464337019722074</v>
      </c>
      <c r="L18" s="40">
        <v>0.94500000000000006</v>
      </c>
      <c r="M18" s="40">
        <v>0.74249999999999994</v>
      </c>
      <c r="N18" s="40">
        <v>0.32341364851337173</v>
      </c>
      <c r="O18" s="40">
        <v>0.17248727920713158</v>
      </c>
      <c r="P18" s="40">
        <v>0.34497455841426317</v>
      </c>
      <c r="Q18" s="40">
        <v>16.694809188106976</v>
      </c>
      <c r="R18" s="40">
        <v>7.3944761989192411</v>
      </c>
      <c r="S18" s="38">
        <v>0.34295752048078043</v>
      </c>
      <c r="T18" s="40">
        <v>4.8661007127844726</v>
      </c>
      <c r="U18" s="38">
        <v>0.22569087924175596</v>
      </c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>
      <c r="A19" s="36">
        <v>45748</v>
      </c>
      <c r="B19" s="37">
        <v>2025</v>
      </c>
      <c r="C19" s="37" t="s">
        <v>43</v>
      </c>
      <c r="D19" s="37" t="s">
        <v>38</v>
      </c>
      <c r="E19" s="37">
        <v>123</v>
      </c>
      <c r="F19" s="37">
        <v>101</v>
      </c>
      <c r="G19" s="38">
        <v>0.73507182343371213</v>
      </c>
      <c r="H19" s="39">
        <v>2062.3000000000002</v>
      </c>
      <c r="I19" s="40">
        <v>24.497568122912288</v>
      </c>
      <c r="J19" s="40">
        <v>12.914999999999999</v>
      </c>
      <c r="K19" s="40">
        <v>1.5923419279892987</v>
      </c>
      <c r="L19" s="40">
        <v>1.107</v>
      </c>
      <c r="M19" s="40">
        <v>0.67649999999999999</v>
      </c>
      <c r="N19" s="40">
        <v>0.29397081747494747</v>
      </c>
      <c r="O19" s="40">
        <v>0.19598054498329831</v>
      </c>
      <c r="P19" s="40">
        <v>0.39196108996659662</v>
      </c>
      <c r="Q19" s="40">
        <v>17.17275438041414</v>
      </c>
      <c r="R19" s="40">
        <v>9.9902261949229896</v>
      </c>
      <c r="S19" s="38">
        <v>0.40780481331039747</v>
      </c>
      <c r="T19" s="40">
        <v>7.3248137424981472</v>
      </c>
      <c r="U19" s="38">
        <v>0.29900166848183329</v>
      </c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>
      <c r="A20" s="36">
        <v>45748</v>
      </c>
      <c r="B20" s="37">
        <v>2025</v>
      </c>
      <c r="C20" s="37" t="s">
        <v>43</v>
      </c>
      <c r="D20" s="37" t="s">
        <v>39</v>
      </c>
      <c r="E20" s="37">
        <v>105</v>
      </c>
      <c r="F20" s="37">
        <v>87</v>
      </c>
      <c r="G20" s="38">
        <v>0.7615389315584894</v>
      </c>
      <c r="H20" s="39">
        <v>2213.1999999999998</v>
      </c>
      <c r="I20" s="40">
        <v>23.461296449487463</v>
      </c>
      <c r="J20" s="40">
        <v>11.55</v>
      </c>
      <c r="K20" s="40">
        <v>1.6188294550146352</v>
      </c>
      <c r="L20" s="40">
        <v>1.05</v>
      </c>
      <c r="M20" s="40">
        <v>0.57750000000000001</v>
      </c>
      <c r="N20" s="40">
        <v>0.28153555739384956</v>
      </c>
      <c r="O20" s="40">
        <v>0.18769037159589971</v>
      </c>
      <c r="P20" s="40">
        <v>0.37538074319179943</v>
      </c>
      <c r="Q20" s="40">
        <v>15.640936127196186</v>
      </c>
      <c r="R20" s="40">
        <v>10.292466994472827</v>
      </c>
      <c r="S20" s="38">
        <v>0.43869983982482252</v>
      </c>
      <c r="T20" s="40">
        <v>7.8203603222912772</v>
      </c>
      <c r="U20" s="38">
        <v>0.33333027180013836</v>
      </c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>
      <c r="A21" s="36">
        <v>45748</v>
      </c>
      <c r="B21" s="37">
        <v>2025</v>
      </c>
      <c r="C21" s="37" t="s">
        <v>43</v>
      </c>
      <c r="D21" s="37" t="s">
        <v>40</v>
      </c>
      <c r="E21" s="37">
        <v>78</v>
      </c>
      <c r="F21" s="37">
        <v>66</v>
      </c>
      <c r="G21" s="38">
        <v>0.78666334307931207</v>
      </c>
      <c r="H21" s="39">
        <v>2414.4</v>
      </c>
      <c r="I21" s="40">
        <v>20.056818941604096</v>
      </c>
      <c r="J21" s="40">
        <v>9.36</v>
      </c>
      <c r="K21" s="40">
        <v>1.4641477827370992</v>
      </c>
      <c r="L21" s="40">
        <v>0.85799999999999998</v>
      </c>
      <c r="M21" s="40">
        <v>0.42899999999999999</v>
      </c>
      <c r="N21" s="40">
        <v>0.24068182729924917</v>
      </c>
      <c r="O21" s="40">
        <v>0.16045455153283278</v>
      </c>
      <c r="P21" s="40">
        <v>0.32090910306566556</v>
      </c>
      <c r="Q21" s="40">
        <v>12.833193264634847</v>
      </c>
      <c r="R21" s="40">
        <v>9.2326711588669976</v>
      </c>
      <c r="S21" s="38">
        <v>0.46032579671522883</v>
      </c>
      <c r="T21" s="40">
        <v>7.2236256769692488</v>
      </c>
      <c r="U21" s="38">
        <v>0.36015809376357272</v>
      </c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>
      <c r="A22" s="36">
        <v>45748</v>
      </c>
      <c r="B22" s="37">
        <v>2025</v>
      </c>
      <c r="C22" s="37" t="s">
        <v>43</v>
      </c>
      <c r="D22" s="37" t="s">
        <v>41</v>
      </c>
      <c r="E22" s="37">
        <v>160</v>
      </c>
      <c r="F22" s="37">
        <v>126</v>
      </c>
      <c r="G22" s="38">
        <v>0.72073364717787991</v>
      </c>
      <c r="H22" s="39">
        <v>1961.7</v>
      </c>
      <c r="I22" s="40">
        <v>28.503482024683954</v>
      </c>
      <c r="J22" s="40">
        <v>15.36</v>
      </c>
      <c r="K22" s="40">
        <v>2.1947681159006645</v>
      </c>
      <c r="L22" s="40">
        <v>1.28</v>
      </c>
      <c r="M22" s="40">
        <v>0.87999999999999989</v>
      </c>
      <c r="N22" s="40">
        <v>0.34204178429620746</v>
      </c>
      <c r="O22" s="40">
        <v>0.22802785619747165</v>
      </c>
      <c r="P22" s="40">
        <v>0.4560557123949433</v>
      </c>
      <c r="Q22" s="40">
        <v>20.740893468789285</v>
      </c>
      <c r="R22" s="40">
        <v>10.94871390878329</v>
      </c>
      <c r="S22" s="38">
        <v>0.38411847013293771</v>
      </c>
      <c r="T22" s="40">
        <v>7.7625885558946699</v>
      </c>
      <c r="U22" s="38">
        <v>0.27233825499538211</v>
      </c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>
      <c r="A23" s="36">
        <v>45748</v>
      </c>
      <c r="B23" s="37">
        <v>2025</v>
      </c>
      <c r="C23" s="37" t="s">
        <v>43</v>
      </c>
      <c r="D23" s="37" t="s">
        <v>42</v>
      </c>
      <c r="E23" s="37">
        <v>137</v>
      </c>
      <c r="F23" s="37">
        <v>105</v>
      </c>
      <c r="G23" s="38">
        <v>0.69784688759441238</v>
      </c>
      <c r="H23" s="39">
        <v>1810.8</v>
      </c>
      <c r="I23" s="40">
        <v>21.22950722014016</v>
      </c>
      <c r="J23" s="40">
        <v>12.603999999999999</v>
      </c>
      <c r="K23" s="40">
        <v>1.719590084831353</v>
      </c>
      <c r="L23" s="40">
        <v>0.95900000000000007</v>
      </c>
      <c r="M23" s="40">
        <v>0.75349999999999995</v>
      </c>
      <c r="N23" s="40">
        <v>0.25475408664168192</v>
      </c>
      <c r="O23" s="40">
        <v>0.16983605776112129</v>
      </c>
      <c r="P23" s="40">
        <v>0.33967211552224258</v>
      </c>
      <c r="Q23" s="40">
        <v>16.800352344756394</v>
      </c>
      <c r="R23" s="40">
        <v>6.9059171353088082</v>
      </c>
      <c r="S23" s="38">
        <v>0.32529804218711461</v>
      </c>
      <c r="T23" s="40">
        <v>4.429154875383766</v>
      </c>
      <c r="U23" s="38">
        <v>0.20863201531036404</v>
      </c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>
      <c r="A24" s="36">
        <v>45778</v>
      </c>
      <c r="B24" s="37">
        <v>2025</v>
      </c>
      <c r="C24" s="37" t="s">
        <v>43</v>
      </c>
      <c r="D24" s="37" t="s">
        <v>38</v>
      </c>
      <c r="E24" s="37">
        <v>123</v>
      </c>
      <c r="F24" s="37">
        <v>101</v>
      </c>
      <c r="G24" s="38">
        <v>0.7736200816894867</v>
      </c>
      <c r="H24" s="39">
        <v>2066.4</v>
      </c>
      <c r="I24" s="40">
        <v>25.833513954738994</v>
      </c>
      <c r="J24" s="40">
        <v>12.914999999999999</v>
      </c>
      <c r="K24" s="40">
        <v>1.6791784070580347</v>
      </c>
      <c r="L24" s="40">
        <v>1.107</v>
      </c>
      <c r="M24" s="40">
        <v>0.67649999999999999</v>
      </c>
      <c r="N24" s="40">
        <v>0.31000216745686793</v>
      </c>
      <c r="O24" s="40">
        <v>0.20666811163791196</v>
      </c>
      <c r="P24" s="40">
        <v>0.41333622327582392</v>
      </c>
      <c r="Q24" s="40">
        <v>17.307684909428641</v>
      </c>
      <c r="R24" s="40">
        <v>11.239335547680959</v>
      </c>
      <c r="S24" s="38">
        <v>0.4350680115516834</v>
      </c>
      <c r="T24" s="40">
        <v>8.5258290453103527</v>
      </c>
      <c r="U24" s="38">
        <v>0.33002978457548721</v>
      </c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>
      <c r="A25" s="36">
        <v>45778</v>
      </c>
      <c r="B25" s="37">
        <v>2025</v>
      </c>
      <c r="C25" s="37" t="s">
        <v>43</v>
      </c>
      <c r="D25" s="37" t="s">
        <v>39</v>
      </c>
      <c r="E25" s="37">
        <v>105</v>
      </c>
      <c r="F25" s="37">
        <v>87</v>
      </c>
      <c r="G25" s="38">
        <v>0.77874532288988418</v>
      </c>
      <c r="H25" s="39">
        <v>2217.6</v>
      </c>
      <c r="I25" s="40">
        <v>24.039083142325254</v>
      </c>
      <c r="J25" s="40">
        <v>11.55</v>
      </c>
      <c r="K25" s="40">
        <v>1.6586967368204426</v>
      </c>
      <c r="L25" s="40">
        <v>1.05</v>
      </c>
      <c r="M25" s="40">
        <v>0.57750000000000001</v>
      </c>
      <c r="N25" s="40">
        <v>0.28846899770790307</v>
      </c>
      <c r="O25" s="40">
        <v>0.19231266513860204</v>
      </c>
      <c r="P25" s="40">
        <v>0.38462533027720408</v>
      </c>
      <c r="Q25" s="40">
        <v>15.701603729944154</v>
      </c>
      <c r="R25" s="40">
        <v>10.830386405504811</v>
      </c>
      <c r="S25" s="38">
        <v>0.45053242427686069</v>
      </c>
      <c r="T25" s="40">
        <v>8.3374794123811</v>
      </c>
      <c r="U25" s="38">
        <v>0.34683017497041829</v>
      </c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>
      <c r="A26" s="36">
        <v>45778</v>
      </c>
      <c r="B26" s="37">
        <v>2025</v>
      </c>
      <c r="C26" s="37" t="s">
        <v>43</v>
      </c>
      <c r="D26" s="37" t="s">
        <v>40</v>
      </c>
      <c r="E26" s="37">
        <v>79</v>
      </c>
      <c r="F26" s="37">
        <v>67</v>
      </c>
      <c r="G26" s="38">
        <v>0.81173549534477896</v>
      </c>
      <c r="H26" s="39">
        <v>2419.1999999999998</v>
      </c>
      <c r="I26" s="40">
        <v>21.051405470824314</v>
      </c>
      <c r="J26" s="40">
        <v>9.48</v>
      </c>
      <c r="K26" s="40">
        <v>1.5367525993701752</v>
      </c>
      <c r="L26" s="40">
        <v>0.86899999999999999</v>
      </c>
      <c r="M26" s="40">
        <v>0.4345</v>
      </c>
      <c r="N26" s="40">
        <v>0.25261686564989178</v>
      </c>
      <c r="O26" s="40">
        <v>0.16841124376659453</v>
      </c>
      <c r="P26" s="40">
        <v>0.33682248753318905</v>
      </c>
      <c r="Q26" s="40">
        <v>13.07810319631985</v>
      </c>
      <c r="R26" s="40">
        <v>10.034652871454139</v>
      </c>
      <c r="S26" s="38">
        <v>0.47667377293936136</v>
      </c>
      <c r="T26" s="40">
        <v>7.9733022745044639</v>
      </c>
      <c r="U26" s="38">
        <v>0.3787539167185236</v>
      </c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>
      <c r="A27" s="36">
        <v>45778</v>
      </c>
      <c r="B27" s="37">
        <v>2025</v>
      </c>
      <c r="C27" s="37" t="s">
        <v>43</v>
      </c>
      <c r="D27" s="37" t="s">
        <v>41</v>
      </c>
      <c r="E27" s="37">
        <v>161</v>
      </c>
      <c r="F27" s="37">
        <v>127</v>
      </c>
      <c r="G27" s="38">
        <v>0.74263374858130682</v>
      </c>
      <c r="H27" s="39">
        <v>1965.6</v>
      </c>
      <c r="I27" s="40">
        <v>29.661528611015985</v>
      </c>
      <c r="J27" s="40">
        <v>15.456</v>
      </c>
      <c r="K27" s="40">
        <v>2.2839377030482306</v>
      </c>
      <c r="L27" s="40">
        <v>1.288</v>
      </c>
      <c r="M27" s="40">
        <v>0.88549999999999995</v>
      </c>
      <c r="N27" s="40">
        <v>0.35593834333219182</v>
      </c>
      <c r="O27" s="40">
        <v>0.2372922288881279</v>
      </c>
      <c r="P27" s="40">
        <v>0.4745844577762558</v>
      </c>
      <c r="Q27" s="40">
        <v>20.981252733044805</v>
      </c>
      <c r="R27" s="40">
        <v>11.921590907967754</v>
      </c>
      <c r="S27" s="38">
        <v>0.40192098877669435</v>
      </c>
      <c r="T27" s="40">
        <v>8.6802758779711802</v>
      </c>
      <c r="U27" s="38">
        <v>0.29264425282341705</v>
      </c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>
      <c r="A28" s="36">
        <v>45778</v>
      </c>
      <c r="B28" s="37">
        <v>2025</v>
      </c>
      <c r="C28" s="37" t="s">
        <v>43</v>
      </c>
      <c r="D28" s="37" t="s">
        <v>42</v>
      </c>
      <c r="E28" s="37">
        <v>138</v>
      </c>
      <c r="F28" s="37">
        <v>106</v>
      </c>
      <c r="G28" s="38">
        <v>0.72030808133371893</v>
      </c>
      <c r="H28" s="39">
        <v>1814.4</v>
      </c>
      <c r="I28" s="40">
        <v>22.165481627811417</v>
      </c>
      <c r="J28" s="40">
        <v>12.696</v>
      </c>
      <c r="K28" s="40">
        <v>1.7954040118527248</v>
      </c>
      <c r="L28" s="40">
        <v>0.96599999999999997</v>
      </c>
      <c r="M28" s="40">
        <v>0.75900000000000001</v>
      </c>
      <c r="N28" s="40">
        <v>0.26598577953373703</v>
      </c>
      <c r="O28" s="40">
        <v>0.17732385302249135</v>
      </c>
      <c r="P28" s="40">
        <v>0.35464770604498269</v>
      </c>
      <c r="Q28" s="40">
        <v>17.014361350453935</v>
      </c>
      <c r="R28" s="40">
        <v>7.6740776159586925</v>
      </c>
      <c r="S28" s="38">
        <v>0.34621749911943683</v>
      </c>
      <c r="T28" s="40">
        <v>5.1511202773574816</v>
      </c>
      <c r="U28" s="38">
        <v>0.23239378976066466</v>
      </c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>
      <c r="A29" s="36">
        <v>45809</v>
      </c>
      <c r="B29" s="37">
        <v>2025</v>
      </c>
      <c r="C29" s="37" t="s">
        <v>43</v>
      </c>
      <c r="D29" s="37" t="s">
        <v>38</v>
      </c>
      <c r="E29" s="37">
        <v>124</v>
      </c>
      <c r="F29" s="37">
        <v>102</v>
      </c>
      <c r="G29" s="38">
        <v>0.76138467580925384</v>
      </c>
      <c r="H29" s="39">
        <v>2070.5</v>
      </c>
      <c r="I29" s="40">
        <v>25.727614571013138</v>
      </c>
      <c r="J29" s="40">
        <v>13.02</v>
      </c>
      <c r="K29" s="40">
        <v>1.6722949471158541</v>
      </c>
      <c r="L29" s="40">
        <v>1.1159999999999999</v>
      </c>
      <c r="M29" s="40">
        <v>0.68199999999999994</v>
      </c>
      <c r="N29" s="40">
        <v>0.30873137485215768</v>
      </c>
      <c r="O29" s="40">
        <v>0.20582091656810511</v>
      </c>
      <c r="P29" s="40">
        <v>0.41164183313621022</v>
      </c>
      <c r="Q29" s="40">
        <v>17.416489071672327</v>
      </c>
      <c r="R29" s="40">
        <v>11.035319623897283</v>
      </c>
      <c r="S29" s="38">
        <v>0.42892898575721783</v>
      </c>
      <c r="T29" s="40">
        <v>8.311125499340811</v>
      </c>
      <c r="U29" s="38">
        <v>0.32304298855226221</v>
      </c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>
      <c r="A30" s="36">
        <v>45809</v>
      </c>
      <c r="B30" s="37">
        <v>2025</v>
      </c>
      <c r="C30" s="37" t="s">
        <v>43</v>
      </c>
      <c r="D30" s="37" t="s">
        <v>39</v>
      </c>
      <c r="E30" s="37">
        <v>106</v>
      </c>
      <c r="F30" s="37">
        <v>88</v>
      </c>
      <c r="G30" s="38">
        <v>0.78443570918563088</v>
      </c>
      <c r="H30" s="39">
        <v>2222</v>
      </c>
      <c r="I30" s="40">
        <v>24.541667333011439</v>
      </c>
      <c r="J30" s="40">
        <v>11.66</v>
      </c>
      <c r="K30" s="40">
        <v>1.6933750459777894</v>
      </c>
      <c r="L30" s="40">
        <v>1.06</v>
      </c>
      <c r="M30" s="40">
        <v>0.58299999999999996</v>
      </c>
      <c r="N30" s="40">
        <v>0.29450000799613729</v>
      </c>
      <c r="O30" s="40">
        <v>0.19633333866409153</v>
      </c>
      <c r="P30" s="40">
        <v>0.39266667732818306</v>
      </c>
      <c r="Q30" s="40">
        <v>15.879875069966202</v>
      </c>
      <c r="R30" s="40">
        <v>11.188292287033649</v>
      </c>
      <c r="S30" s="38">
        <v>0.45588965636348899</v>
      </c>
      <c r="T30" s="40">
        <v>8.6617922630452373</v>
      </c>
      <c r="U30" s="38">
        <v>0.35294228976016245</v>
      </c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>
      <c r="A31" s="36">
        <v>45809</v>
      </c>
      <c r="B31" s="37">
        <v>2025</v>
      </c>
      <c r="C31" s="37" t="s">
        <v>43</v>
      </c>
      <c r="D31" s="37" t="s">
        <v>40</v>
      </c>
      <c r="E31" s="37">
        <v>80</v>
      </c>
      <c r="F31" s="37">
        <v>68</v>
      </c>
      <c r="G31" s="38">
        <v>0.81255802174592051</v>
      </c>
      <c r="H31" s="39">
        <v>2424</v>
      </c>
      <c r="I31" s="40">
        <v>21.429690214467772</v>
      </c>
      <c r="J31" s="40">
        <v>9.6</v>
      </c>
      <c r="K31" s="40">
        <v>1.5643673856561475</v>
      </c>
      <c r="L31" s="40">
        <v>0.87999999999999989</v>
      </c>
      <c r="M31" s="40">
        <v>0.43999999999999995</v>
      </c>
      <c r="N31" s="40">
        <v>0.25715628257361328</v>
      </c>
      <c r="O31" s="40">
        <v>0.17143752171574217</v>
      </c>
      <c r="P31" s="40">
        <v>0.34287504343148434</v>
      </c>
      <c r="Q31" s="40">
        <v>13.255836233376986</v>
      </c>
      <c r="R31" s="40">
        <v>10.265322828811625</v>
      </c>
      <c r="S31" s="38">
        <v>0.47902338886267348</v>
      </c>
      <c r="T31" s="40">
        <v>8.1738539810907866</v>
      </c>
      <c r="U31" s="38">
        <v>0.3814266048312912</v>
      </c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>
      <c r="A32" s="36">
        <v>45809</v>
      </c>
      <c r="B32" s="37">
        <v>2025</v>
      </c>
      <c r="C32" s="37" t="s">
        <v>43</v>
      </c>
      <c r="D32" s="37" t="s">
        <v>41</v>
      </c>
      <c r="E32" s="37">
        <v>163</v>
      </c>
      <c r="F32" s="37">
        <v>129</v>
      </c>
      <c r="G32" s="38">
        <v>0.74239162207878295</v>
      </c>
      <c r="H32" s="39">
        <v>1969.5</v>
      </c>
      <c r="I32" s="40">
        <v>30.178575785481126</v>
      </c>
      <c r="J32" s="40">
        <v>15.648</v>
      </c>
      <c r="K32" s="40">
        <v>2.3237503354820466</v>
      </c>
      <c r="L32" s="40">
        <v>1.304</v>
      </c>
      <c r="M32" s="40">
        <v>0.89649999999999996</v>
      </c>
      <c r="N32" s="40">
        <v>0.36214290942577354</v>
      </c>
      <c r="O32" s="40">
        <v>0.24142860628384902</v>
      </c>
      <c r="P32" s="40">
        <v>0.48285721256769804</v>
      </c>
      <c r="Q32" s="40">
        <v>21.258679063759367</v>
      </c>
      <c r="R32" s="40">
        <v>12.20682544999908</v>
      </c>
      <c r="S32" s="38">
        <v>0.40448646539084748</v>
      </c>
      <c r="T32" s="40">
        <v>8.9198967217217593</v>
      </c>
      <c r="U32" s="38">
        <v>0.29557049958643544</v>
      </c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>
      <c r="A33" s="36">
        <v>45809</v>
      </c>
      <c r="B33" s="37">
        <v>2025</v>
      </c>
      <c r="C33" s="37" t="s">
        <v>43</v>
      </c>
      <c r="D33" s="37" t="s">
        <v>42</v>
      </c>
      <c r="E33" s="37">
        <v>140</v>
      </c>
      <c r="F33" s="37">
        <v>108</v>
      </c>
      <c r="G33" s="38">
        <v>0.72880560261859939</v>
      </c>
      <c r="H33" s="39">
        <v>1818</v>
      </c>
      <c r="I33" s="40">
        <v>22.895457158487403</v>
      </c>
      <c r="J33" s="40">
        <v>12.879999999999999</v>
      </c>
      <c r="K33" s="40">
        <v>1.8545320298374797</v>
      </c>
      <c r="L33" s="40">
        <v>0.98</v>
      </c>
      <c r="M33" s="40">
        <v>0.76999999999999991</v>
      </c>
      <c r="N33" s="40">
        <v>0.27474548590184883</v>
      </c>
      <c r="O33" s="40">
        <v>0.18316365726789924</v>
      </c>
      <c r="P33" s="40">
        <v>0.36632731453579848</v>
      </c>
      <c r="Q33" s="40">
        <v>17.308768487543027</v>
      </c>
      <c r="R33" s="40">
        <v>8.1609251286499251</v>
      </c>
      <c r="S33" s="38">
        <v>0.35644298657843787</v>
      </c>
      <c r="T33" s="40">
        <v>5.5866886709443762</v>
      </c>
      <c r="U33" s="38">
        <v>0.24400860975485597</v>
      </c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>
      <c r="A34" s="36">
        <v>45839</v>
      </c>
      <c r="B34" s="37">
        <v>2025</v>
      </c>
      <c r="C34" s="37" t="s">
        <v>44</v>
      </c>
      <c r="D34" s="37" t="s">
        <v>38</v>
      </c>
      <c r="E34" s="37">
        <v>125</v>
      </c>
      <c r="F34" s="37">
        <v>102</v>
      </c>
      <c r="G34" s="38">
        <v>0.77122261550281901</v>
      </c>
      <c r="H34" s="39">
        <v>2074.6</v>
      </c>
      <c r="I34" s="40">
        <v>26.11164811015346</v>
      </c>
      <c r="J34" s="40">
        <v>13.125</v>
      </c>
      <c r="K34" s="40">
        <v>1.697257127159975</v>
      </c>
      <c r="L34" s="40">
        <v>1.125</v>
      </c>
      <c r="M34" s="40">
        <v>0.6875</v>
      </c>
      <c r="N34" s="40">
        <v>0.31333977732184154</v>
      </c>
      <c r="O34" s="40">
        <v>0.20889318488122768</v>
      </c>
      <c r="P34" s="40">
        <v>0.41778636976245537</v>
      </c>
      <c r="Q34" s="40">
        <v>17.574776459125498</v>
      </c>
      <c r="R34" s="40">
        <v>11.289390982993485</v>
      </c>
      <c r="S34" s="38">
        <v>0.43235076297629904</v>
      </c>
      <c r="T34" s="40">
        <v>8.5368716510279619</v>
      </c>
      <c r="U34" s="38">
        <v>0.32693729691112133</v>
      </c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>
      <c r="A35" s="36">
        <v>45839</v>
      </c>
      <c r="B35" s="37">
        <v>2025</v>
      </c>
      <c r="C35" s="37" t="s">
        <v>44</v>
      </c>
      <c r="D35" s="37" t="s">
        <v>39</v>
      </c>
      <c r="E35" s="37">
        <v>107</v>
      </c>
      <c r="F35" s="37">
        <v>89</v>
      </c>
      <c r="G35" s="38">
        <v>0.78695836068361169</v>
      </c>
      <c r="H35" s="39">
        <v>2226.4</v>
      </c>
      <c r="I35" s="40">
        <v>24.94967750177814</v>
      </c>
      <c r="J35" s="40">
        <v>11.77</v>
      </c>
      <c r="K35" s="40">
        <v>1.7215277476226918</v>
      </c>
      <c r="L35" s="40">
        <v>1.07</v>
      </c>
      <c r="M35" s="40">
        <v>0.58849999999999991</v>
      </c>
      <c r="N35" s="40">
        <v>0.29939613002133769</v>
      </c>
      <c r="O35" s="40">
        <v>0.19959742001422512</v>
      </c>
      <c r="P35" s="40">
        <v>0.39919484002845024</v>
      </c>
      <c r="Q35" s="40">
        <v>16.048216137686705</v>
      </c>
      <c r="R35" s="40">
        <v>11.45814975415545</v>
      </c>
      <c r="S35" s="38">
        <v>0.45925041529449984</v>
      </c>
      <c r="T35" s="40">
        <v>8.9014613640914355</v>
      </c>
      <c r="U35" s="38">
        <v>0.35677661017690654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>
      <c r="A36" s="36">
        <v>45839</v>
      </c>
      <c r="B36" s="37">
        <v>2025</v>
      </c>
      <c r="C36" s="37" t="s">
        <v>44</v>
      </c>
      <c r="D36" s="37" t="s">
        <v>40</v>
      </c>
      <c r="E36" s="37">
        <v>81</v>
      </c>
      <c r="F36" s="37">
        <v>69</v>
      </c>
      <c r="G36" s="38">
        <v>0.80976391145135296</v>
      </c>
      <c r="H36" s="39">
        <v>2428.8000000000002</v>
      </c>
      <c r="I36" s="40">
        <v>21.712970652988833</v>
      </c>
      <c r="J36" s="40">
        <v>9.7199999999999989</v>
      </c>
      <c r="K36" s="40">
        <v>1.5850468576681851</v>
      </c>
      <c r="L36" s="40">
        <v>0.8909999999999999</v>
      </c>
      <c r="M36" s="40">
        <v>0.44549999999999995</v>
      </c>
      <c r="N36" s="40">
        <v>0.26055564783586599</v>
      </c>
      <c r="O36" s="40">
        <v>0.17370376522391068</v>
      </c>
      <c r="P36" s="40">
        <v>0.34740753044782136</v>
      </c>
      <c r="Q36" s="40">
        <v>13.423213801175782</v>
      </c>
      <c r="R36" s="40">
        <v>10.407923795320649</v>
      </c>
      <c r="S36" s="38">
        <v>0.4793413099320879</v>
      </c>
      <c r="T36" s="40">
        <v>8.2897568518130509</v>
      </c>
      <c r="U36" s="38">
        <v>0.38178824004774997</v>
      </c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>
      <c r="A37" s="36">
        <v>45839</v>
      </c>
      <c r="B37" s="37">
        <v>2025</v>
      </c>
      <c r="C37" s="37" t="s">
        <v>44</v>
      </c>
      <c r="D37" s="37" t="s">
        <v>41</v>
      </c>
      <c r="E37" s="37">
        <v>164</v>
      </c>
      <c r="F37" s="37">
        <v>130</v>
      </c>
      <c r="G37" s="38">
        <v>0.7420046235995732</v>
      </c>
      <c r="H37" s="39">
        <v>1973.4</v>
      </c>
      <c r="I37" s="40">
        <v>30.456856023597073</v>
      </c>
      <c r="J37" s="40">
        <v>15.744</v>
      </c>
      <c r="K37" s="40">
        <v>2.3451779138169746</v>
      </c>
      <c r="L37" s="40">
        <v>1.3120000000000001</v>
      </c>
      <c r="M37" s="40">
        <v>0.90199999999999991</v>
      </c>
      <c r="N37" s="40">
        <v>0.36548227228316488</v>
      </c>
      <c r="O37" s="40">
        <v>0.24365484818877658</v>
      </c>
      <c r="P37" s="40">
        <v>0.48730969637755317</v>
      </c>
      <c r="Q37" s="40">
        <v>21.399624730666471</v>
      </c>
      <c r="R37" s="40">
        <v>12.367678109780098</v>
      </c>
      <c r="S37" s="38">
        <v>0.40607205485024411</v>
      </c>
      <c r="T37" s="40">
        <v>9.0572312929306023</v>
      </c>
      <c r="U37" s="38">
        <v>0.29737906256355962</v>
      </c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>
      <c r="A38" s="36">
        <v>45839</v>
      </c>
      <c r="B38" s="37">
        <v>2025</v>
      </c>
      <c r="C38" s="37" t="s">
        <v>44</v>
      </c>
      <c r="D38" s="37" t="s">
        <v>42</v>
      </c>
      <c r="E38" s="37">
        <v>141</v>
      </c>
      <c r="F38" s="37">
        <v>109</v>
      </c>
      <c r="G38" s="38">
        <v>0.72195361871945973</v>
      </c>
      <c r="H38" s="39">
        <v>1821.6</v>
      </c>
      <c r="I38" s="40">
        <v>22.935530814827374</v>
      </c>
      <c r="J38" s="40">
        <v>12.972</v>
      </c>
      <c r="K38" s="40">
        <v>1.8577779960010172</v>
      </c>
      <c r="L38" s="40">
        <v>0.98699999999999999</v>
      </c>
      <c r="M38" s="40">
        <v>0.77549999999999997</v>
      </c>
      <c r="N38" s="40">
        <v>0.27522636977792847</v>
      </c>
      <c r="O38" s="40">
        <v>0.183484246518619</v>
      </c>
      <c r="P38" s="40">
        <v>0.366968493037238</v>
      </c>
      <c r="Q38" s="40">
        <v>17.417957105334803</v>
      </c>
      <c r="R38" s="40">
        <v>8.1057528188263568</v>
      </c>
      <c r="S38" s="38">
        <v>0.35341465973772646</v>
      </c>
      <c r="T38" s="40">
        <v>5.5175737094925701</v>
      </c>
      <c r="U38" s="38">
        <v>0.24056882546296099</v>
      </c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>
      <c r="A39" s="36">
        <v>45870</v>
      </c>
      <c r="B39" s="37">
        <v>2025</v>
      </c>
      <c r="C39" s="37" t="s">
        <v>44</v>
      </c>
      <c r="D39" s="37" t="s">
        <v>38</v>
      </c>
      <c r="E39" s="37">
        <v>126</v>
      </c>
      <c r="F39" s="37">
        <v>103</v>
      </c>
      <c r="G39" s="38">
        <v>0.76579533940510913</v>
      </c>
      <c r="H39" s="39">
        <v>2078.6999999999998</v>
      </c>
      <c r="I39" s="40">
        <v>26.233832562912678</v>
      </c>
      <c r="J39" s="40">
        <v>13.229999999999999</v>
      </c>
      <c r="K39" s="40">
        <v>1.7051991165893241</v>
      </c>
      <c r="L39" s="40">
        <v>1.1339999999999999</v>
      </c>
      <c r="M39" s="40">
        <v>0.69299999999999995</v>
      </c>
      <c r="N39" s="40">
        <v>0.31480599075495214</v>
      </c>
      <c r="O39" s="40">
        <v>0.20987066050330141</v>
      </c>
      <c r="P39" s="40">
        <v>0.41974132100660283</v>
      </c>
      <c r="Q39" s="40">
        <v>17.706617088854181</v>
      </c>
      <c r="R39" s="40">
        <v>11.298633446323356</v>
      </c>
      <c r="S39" s="38">
        <v>0.43068939390489486</v>
      </c>
      <c r="T39" s="40">
        <v>8.5272154740584973</v>
      </c>
      <c r="U39" s="38">
        <v>0.32504650068223739</v>
      </c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>
      <c r="A40" s="36">
        <v>45870</v>
      </c>
      <c r="B40" s="37">
        <v>2025</v>
      </c>
      <c r="C40" s="37" t="s">
        <v>44</v>
      </c>
      <c r="D40" s="37" t="s">
        <v>39</v>
      </c>
      <c r="E40" s="37">
        <v>108</v>
      </c>
      <c r="F40" s="37">
        <v>90</v>
      </c>
      <c r="G40" s="38">
        <v>0.79338639957090851</v>
      </c>
      <c r="H40" s="39">
        <v>2230.8000000000002</v>
      </c>
      <c r="I40" s="40">
        <v>25.486363874344072</v>
      </c>
      <c r="J40" s="40">
        <v>11.88</v>
      </c>
      <c r="K40" s="40">
        <v>1.7585591073297411</v>
      </c>
      <c r="L40" s="40">
        <v>1.08</v>
      </c>
      <c r="M40" s="40">
        <v>0.59399999999999997</v>
      </c>
      <c r="N40" s="40">
        <v>0.30583636649212886</v>
      </c>
      <c r="O40" s="40">
        <v>0.20389091099475257</v>
      </c>
      <c r="P40" s="40">
        <v>0.40778182198950513</v>
      </c>
      <c r="Q40" s="40">
        <v>16.230068206806127</v>
      </c>
      <c r="R40" s="40">
        <v>11.847804767014329</v>
      </c>
      <c r="S40" s="38">
        <v>0.46486838316473067</v>
      </c>
      <c r="T40" s="40">
        <v>9.2562956675379446</v>
      </c>
      <c r="U40" s="38">
        <v>0.36318620079248826</v>
      </c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>
      <c r="A41" s="36">
        <v>45870</v>
      </c>
      <c r="B41" s="37">
        <v>2025</v>
      </c>
      <c r="C41" s="37" t="s">
        <v>44</v>
      </c>
      <c r="D41" s="37" t="s">
        <v>40</v>
      </c>
      <c r="E41" s="37">
        <v>82</v>
      </c>
      <c r="F41" s="37">
        <v>70</v>
      </c>
      <c r="G41" s="38">
        <v>0.80934147689071045</v>
      </c>
      <c r="H41" s="39">
        <v>2433.6</v>
      </c>
      <c r="I41" s="40">
        <v>22.059670283405811</v>
      </c>
      <c r="J41" s="40">
        <v>9.84</v>
      </c>
      <c r="K41" s="40">
        <v>1.6103559306886244</v>
      </c>
      <c r="L41" s="40">
        <v>0.90199999999999991</v>
      </c>
      <c r="M41" s="40">
        <v>0.45099999999999996</v>
      </c>
      <c r="N41" s="40">
        <v>0.26471604340086974</v>
      </c>
      <c r="O41" s="40">
        <v>0.1764773622672465</v>
      </c>
      <c r="P41" s="40">
        <v>0.352954724534493</v>
      </c>
      <c r="Q41" s="40">
        <v>13.597504060891234</v>
      </c>
      <c r="R41" s="40">
        <v>10.609314352717186</v>
      </c>
      <c r="S41" s="38">
        <v>0.48093712265037558</v>
      </c>
      <c r="T41" s="40">
        <v>8.4621662225145773</v>
      </c>
      <c r="U41" s="38">
        <v>0.38360347701480224</v>
      </c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>
      <c r="A42" s="36">
        <v>45870</v>
      </c>
      <c r="B42" s="37">
        <v>2025</v>
      </c>
      <c r="C42" s="37" t="s">
        <v>44</v>
      </c>
      <c r="D42" s="37" t="s">
        <v>41</v>
      </c>
      <c r="E42" s="37">
        <v>166</v>
      </c>
      <c r="F42" s="37">
        <v>131</v>
      </c>
      <c r="G42" s="38">
        <v>0.74752635472602857</v>
      </c>
      <c r="H42" s="39">
        <v>1977.3</v>
      </c>
      <c r="I42" s="40">
        <v>30.980637730747311</v>
      </c>
      <c r="J42" s="40">
        <v>15.936</v>
      </c>
      <c r="K42" s="40">
        <v>2.385509105267543</v>
      </c>
      <c r="L42" s="40">
        <v>1.3280000000000001</v>
      </c>
      <c r="M42" s="40">
        <v>0.91299999999999992</v>
      </c>
      <c r="N42" s="40">
        <v>0.37176765276896773</v>
      </c>
      <c r="O42" s="40">
        <v>0.24784510184597849</v>
      </c>
      <c r="P42" s="40">
        <v>0.49569020369195699</v>
      </c>
      <c r="Q42" s="40">
        <v>21.677812063574446</v>
      </c>
      <c r="R42" s="40">
        <v>12.659128625479767</v>
      </c>
      <c r="S42" s="38">
        <v>0.40861420399090037</v>
      </c>
      <c r="T42" s="40">
        <v>9.3028256671728649</v>
      </c>
      <c r="U42" s="38">
        <v>0.30027870142712076</v>
      </c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>
      <c r="A43" s="36">
        <v>45870</v>
      </c>
      <c r="B43" s="37">
        <v>2025</v>
      </c>
      <c r="C43" s="37" t="s">
        <v>44</v>
      </c>
      <c r="D43" s="37" t="s">
        <v>42</v>
      </c>
      <c r="E43" s="37">
        <v>143</v>
      </c>
      <c r="F43" s="37">
        <v>110</v>
      </c>
      <c r="G43" s="38">
        <v>0.73186898981612214</v>
      </c>
      <c r="H43" s="39">
        <v>1825.2</v>
      </c>
      <c r="I43" s="40">
        <v>23.510208131737997</v>
      </c>
      <c r="J43" s="40">
        <v>13.156000000000001</v>
      </c>
      <c r="K43" s="40">
        <v>1.9043268586707778</v>
      </c>
      <c r="L43" s="40">
        <v>1.0010000000000001</v>
      </c>
      <c r="M43" s="40">
        <v>0.78649999999999998</v>
      </c>
      <c r="N43" s="40">
        <v>0.28212249758085595</v>
      </c>
      <c r="O43" s="40">
        <v>0.18808166505390397</v>
      </c>
      <c r="P43" s="40">
        <v>0.37616333010780795</v>
      </c>
      <c r="Q43" s="40">
        <v>17.694194351413348</v>
      </c>
      <c r="R43" s="40">
        <v>8.4498812730672181</v>
      </c>
      <c r="S43" s="38">
        <v>0.35941329084450596</v>
      </c>
      <c r="T43" s="40">
        <v>5.8160137803246492</v>
      </c>
      <c r="U43" s="38">
        <v>0.24738248797011816</v>
      </c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>
      <c r="A44" s="36">
        <v>45901</v>
      </c>
      <c r="B44" s="37">
        <v>2025</v>
      </c>
      <c r="C44" s="37" t="s">
        <v>44</v>
      </c>
      <c r="D44" s="37" t="s">
        <v>38</v>
      </c>
      <c r="E44" s="37">
        <v>127</v>
      </c>
      <c r="F44" s="37">
        <v>104</v>
      </c>
      <c r="G44" s="38">
        <v>0.78625095002193246</v>
      </c>
      <c r="H44" s="39">
        <v>2082.8000000000002</v>
      </c>
      <c r="I44" s="40">
        <v>27.249721885662535</v>
      </c>
      <c r="J44" s="40">
        <v>13.334999999999999</v>
      </c>
      <c r="K44" s="40">
        <v>1.7712319225680648</v>
      </c>
      <c r="L44" s="40">
        <v>1.143</v>
      </c>
      <c r="M44" s="40">
        <v>0.69850000000000001</v>
      </c>
      <c r="N44" s="40">
        <v>0.408745828284938</v>
      </c>
      <c r="O44" s="40">
        <v>0.21799777508530027</v>
      </c>
      <c r="P44" s="40">
        <v>0.43599555017060054</v>
      </c>
      <c r="Q44" s="40">
        <v>18.010471076108903</v>
      </c>
      <c r="R44" s="40">
        <v>12.143489963094471</v>
      </c>
      <c r="S44" s="38">
        <v>0.44563720738316154</v>
      </c>
      <c r="T44" s="40">
        <v>9.2392508095536314</v>
      </c>
      <c r="U44" s="38">
        <v>0.33905853602178859</v>
      </c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>
      <c r="A45" s="36">
        <v>45901</v>
      </c>
      <c r="B45" s="37">
        <v>2025</v>
      </c>
      <c r="C45" s="37" t="s">
        <v>44</v>
      </c>
      <c r="D45" s="37" t="s">
        <v>39</v>
      </c>
      <c r="E45" s="37">
        <v>109</v>
      </c>
      <c r="F45" s="37">
        <v>90</v>
      </c>
      <c r="G45" s="38">
        <v>0.80379627194981895</v>
      </c>
      <c r="H45" s="39">
        <v>2235.1999999999998</v>
      </c>
      <c r="I45" s="40">
        <v>25.871694149696186</v>
      </c>
      <c r="J45" s="40">
        <v>11.99</v>
      </c>
      <c r="K45" s="40">
        <v>1.7851468963290369</v>
      </c>
      <c r="L45" s="40">
        <v>1.0900000000000001</v>
      </c>
      <c r="M45" s="40">
        <v>0.59949999999999992</v>
      </c>
      <c r="N45" s="40">
        <v>0.38807541224544279</v>
      </c>
      <c r="O45" s="40">
        <v>0.20697355319756949</v>
      </c>
      <c r="P45" s="40">
        <v>0.41394710639513899</v>
      </c>
      <c r="Q45" s="40">
        <v>16.473642968167187</v>
      </c>
      <c r="R45" s="40">
        <v>12.096547253367149</v>
      </c>
      <c r="S45" s="38">
        <v>0.46755914720448255</v>
      </c>
      <c r="T45" s="40">
        <v>9.3980511815289987</v>
      </c>
      <c r="U45" s="38">
        <v>0.36325611794693241</v>
      </c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>
      <c r="A46" s="36">
        <v>45901</v>
      </c>
      <c r="B46" s="37">
        <v>2025</v>
      </c>
      <c r="C46" s="37" t="s">
        <v>44</v>
      </c>
      <c r="D46" s="37" t="s">
        <v>40</v>
      </c>
      <c r="E46" s="37">
        <v>83</v>
      </c>
      <c r="F46" s="37">
        <v>71</v>
      </c>
      <c r="G46" s="38">
        <v>0.83171007170435995</v>
      </c>
      <c r="H46" s="39">
        <v>2438.4</v>
      </c>
      <c r="I46" s="40">
        <v>23.038555289266835</v>
      </c>
      <c r="J46" s="40">
        <v>9.9599999999999991</v>
      </c>
      <c r="K46" s="40">
        <v>1.6818145361164791</v>
      </c>
      <c r="L46" s="40">
        <v>0.91299999999999992</v>
      </c>
      <c r="M46" s="40">
        <v>0.45649999999999996</v>
      </c>
      <c r="N46" s="40">
        <v>0.34557832933900251</v>
      </c>
      <c r="O46" s="40">
        <v>0.18430844231413468</v>
      </c>
      <c r="P46" s="40">
        <v>0.36861688462826936</v>
      </c>
      <c r="Q46" s="40">
        <v>13.909818192397884</v>
      </c>
      <c r="R46" s="40">
        <v>11.396740753150358</v>
      </c>
      <c r="S46" s="38">
        <v>0.49468122501847384</v>
      </c>
      <c r="T46" s="40">
        <v>9.1287370968689512</v>
      </c>
      <c r="U46" s="38">
        <v>0.396237393458514</v>
      </c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>
      <c r="A47" s="36">
        <v>45901</v>
      </c>
      <c r="B47" s="37">
        <v>2025</v>
      </c>
      <c r="C47" s="37" t="s">
        <v>44</v>
      </c>
      <c r="D47" s="37" t="s">
        <v>41</v>
      </c>
      <c r="E47" s="37">
        <v>167</v>
      </c>
      <c r="F47" s="37">
        <v>132</v>
      </c>
      <c r="G47" s="38">
        <v>0.7701839109396732</v>
      </c>
      <c r="H47" s="39">
        <v>1981.2</v>
      </c>
      <c r="I47" s="40">
        <v>32.226762255149737</v>
      </c>
      <c r="J47" s="40">
        <v>16.032</v>
      </c>
      <c r="K47" s="40">
        <v>2.4814606936465298</v>
      </c>
      <c r="L47" s="40">
        <v>1.3360000000000001</v>
      </c>
      <c r="M47" s="40">
        <v>0.91849999999999998</v>
      </c>
      <c r="N47" s="40">
        <v>0.48340143382724604</v>
      </c>
      <c r="O47" s="40">
        <v>0.25781409804119793</v>
      </c>
      <c r="P47" s="40">
        <v>0.51562819608239585</v>
      </c>
      <c r="Q47" s="40">
        <v>22.02480442159737</v>
      </c>
      <c r="R47" s="40">
        <v>13.713301561503208</v>
      </c>
      <c r="S47" s="38">
        <v>0.42552526539683228</v>
      </c>
      <c r="T47" s="40">
        <v>10.201957833552367</v>
      </c>
      <c r="U47" s="38">
        <v>0.31656788084326176</v>
      </c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>
      <c r="A48" s="36">
        <v>45901</v>
      </c>
      <c r="B48" s="37">
        <v>2025</v>
      </c>
      <c r="C48" s="37" t="s">
        <v>44</v>
      </c>
      <c r="D48" s="37" t="s">
        <v>42</v>
      </c>
      <c r="E48" s="37">
        <v>144</v>
      </c>
      <c r="F48" s="37">
        <v>111</v>
      </c>
      <c r="G48" s="38">
        <v>0.74290554417155441</v>
      </c>
      <c r="H48" s="39">
        <v>1828.8</v>
      </c>
      <c r="I48" s="40">
        <v>24.129191707053472</v>
      </c>
      <c r="J48" s="40">
        <v>13.247999999999999</v>
      </c>
      <c r="K48" s="40">
        <v>1.9544645282713313</v>
      </c>
      <c r="L48" s="40">
        <v>1.008</v>
      </c>
      <c r="M48" s="40">
        <v>0.79199999999999993</v>
      </c>
      <c r="N48" s="40">
        <v>0.3619378756058021</v>
      </c>
      <c r="O48" s="40">
        <v>0.19303353365642778</v>
      </c>
      <c r="P48" s="40">
        <v>0.38606706731285556</v>
      </c>
      <c r="Q48" s="40">
        <v>17.943503004846416</v>
      </c>
      <c r="R48" s="40">
        <v>8.9267271787821407</v>
      </c>
      <c r="S48" s="38">
        <v>0.36995549984265197</v>
      </c>
      <c r="T48" s="40">
        <v>6.1856887022070559</v>
      </c>
      <c r="U48" s="38">
        <v>0.2563570623212732</v>
      </c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>
      <c r="A49" s="36">
        <v>45931</v>
      </c>
      <c r="B49" s="37">
        <v>2025</v>
      </c>
      <c r="C49" s="37" t="s">
        <v>45</v>
      </c>
      <c r="D49" s="37" t="s">
        <v>38</v>
      </c>
      <c r="E49" s="37">
        <v>128</v>
      </c>
      <c r="F49" s="37">
        <v>105</v>
      </c>
      <c r="G49" s="38">
        <v>0.78969077936413867</v>
      </c>
      <c r="H49" s="39">
        <v>2086.9</v>
      </c>
      <c r="I49" s="40">
        <v>27.686495549244352</v>
      </c>
      <c r="J49" s="40">
        <v>13.44</v>
      </c>
      <c r="K49" s="40">
        <v>1.799622210700883</v>
      </c>
      <c r="L49" s="40">
        <v>1.1519999999999999</v>
      </c>
      <c r="M49" s="40">
        <v>0.70399999999999996</v>
      </c>
      <c r="N49" s="40">
        <v>0.41529743323866525</v>
      </c>
      <c r="O49" s="40">
        <v>0.22149196439395483</v>
      </c>
      <c r="P49" s="40">
        <v>0.44298392878790965</v>
      </c>
      <c r="Q49" s="40">
        <v>18.175395537121418</v>
      </c>
      <c r="R49" s="40">
        <v>12.446873338543469</v>
      </c>
      <c r="S49" s="38">
        <v>0.44956478209403361</v>
      </c>
      <c r="T49" s="40">
        <v>9.5111000121229345</v>
      </c>
      <c r="U49" s="38">
        <v>0.34352849009749525</v>
      </c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>
      <c r="A50" s="36">
        <v>45931</v>
      </c>
      <c r="B50" s="37">
        <v>2025</v>
      </c>
      <c r="C50" s="37" t="s">
        <v>45</v>
      </c>
      <c r="D50" s="37" t="s">
        <v>39</v>
      </c>
      <c r="E50" s="37">
        <v>110</v>
      </c>
      <c r="F50" s="37">
        <v>91</v>
      </c>
      <c r="G50" s="38">
        <v>0.80890314406098318</v>
      </c>
      <c r="H50" s="39">
        <v>2239.6</v>
      </c>
      <c r="I50" s="40">
        <v>26.377179649751518</v>
      </c>
      <c r="J50" s="40">
        <v>12.1</v>
      </c>
      <c r="K50" s="40">
        <v>1.8200253958328549</v>
      </c>
      <c r="L50" s="40">
        <v>1.1000000000000001</v>
      </c>
      <c r="M50" s="40">
        <v>0.60499999999999998</v>
      </c>
      <c r="N50" s="40">
        <v>0.39565769474627277</v>
      </c>
      <c r="O50" s="40">
        <v>0.21101743719801216</v>
      </c>
      <c r="P50" s="40">
        <v>0.42203487439602433</v>
      </c>
      <c r="Q50" s="40">
        <v>16.653735402173165</v>
      </c>
      <c r="R50" s="40">
        <v>12.457154253918663</v>
      </c>
      <c r="S50" s="38">
        <v>0.47227013726753814</v>
      </c>
      <c r="T50" s="40">
        <v>9.7234442475783531</v>
      </c>
      <c r="U50" s="38">
        <v>0.36863092933705482</v>
      </c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>
      <c r="A51" s="36">
        <v>45931</v>
      </c>
      <c r="B51" s="37">
        <v>2025</v>
      </c>
      <c r="C51" s="37" t="s">
        <v>45</v>
      </c>
      <c r="D51" s="37" t="s">
        <v>40</v>
      </c>
      <c r="E51" s="37">
        <v>83</v>
      </c>
      <c r="F51" s="37">
        <v>71</v>
      </c>
      <c r="G51" s="38">
        <v>0.83450219992917485</v>
      </c>
      <c r="H51" s="39">
        <v>2443.1999999999998</v>
      </c>
      <c r="I51" s="40">
        <v>23.161401602488667</v>
      </c>
      <c r="J51" s="40">
        <v>9.9599999999999991</v>
      </c>
      <c r="K51" s="40">
        <v>1.6907823169816729</v>
      </c>
      <c r="L51" s="40">
        <v>0.91299999999999992</v>
      </c>
      <c r="M51" s="40">
        <v>0.45649999999999996</v>
      </c>
      <c r="N51" s="40">
        <v>0.34742102403733</v>
      </c>
      <c r="O51" s="40">
        <v>0.18529121281990935</v>
      </c>
      <c r="P51" s="40">
        <v>0.37058242563981869</v>
      </c>
      <c r="Q51" s="40">
        <v>13.92357697947873</v>
      </c>
      <c r="R51" s="40">
        <v>11.510619285506994</v>
      </c>
      <c r="S51" s="38">
        <v>0.49697421093333966</v>
      </c>
      <c r="T51" s="40">
        <v>9.2378246230099368</v>
      </c>
      <c r="U51" s="38">
        <v>0.39884566493667389</v>
      </c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>
      <c r="A52" s="36">
        <v>45931</v>
      </c>
      <c r="B52" s="37">
        <v>2025</v>
      </c>
      <c r="C52" s="37" t="s">
        <v>45</v>
      </c>
      <c r="D52" s="37" t="s">
        <v>41</v>
      </c>
      <c r="E52" s="37">
        <v>169</v>
      </c>
      <c r="F52" s="37">
        <v>134</v>
      </c>
      <c r="G52" s="38">
        <v>0.77217112463102744</v>
      </c>
      <c r="H52" s="39">
        <v>1985.1000000000001</v>
      </c>
      <c r="I52" s="40">
        <v>32.864023125388329</v>
      </c>
      <c r="J52" s="40">
        <v>16.224</v>
      </c>
      <c r="K52" s="40">
        <v>2.5305297806549012</v>
      </c>
      <c r="L52" s="40">
        <v>1.3520000000000001</v>
      </c>
      <c r="M52" s="40">
        <v>0.92949999999999999</v>
      </c>
      <c r="N52" s="40">
        <v>0.49296034688082491</v>
      </c>
      <c r="O52" s="40">
        <v>0.26291218500310665</v>
      </c>
      <c r="P52" s="40">
        <v>0.52582437000621329</v>
      </c>
      <c r="Q52" s="40">
        <v>22.317726682545047</v>
      </c>
      <c r="R52" s="40">
        <v>14.109493344733426</v>
      </c>
      <c r="S52" s="38">
        <v>0.42932946130485983</v>
      </c>
      <c r="T52" s="40">
        <v>10.546296442843282</v>
      </c>
      <c r="U52" s="38">
        <v>0.32090704180085572</v>
      </c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>
      <c r="A53" s="36">
        <v>45931</v>
      </c>
      <c r="B53" s="37">
        <v>2025</v>
      </c>
      <c r="C53" s="37" t="s">
        <v>45</v>
      </c>
      <c r="D53" s="37" t="s">
        <v>42</v>
      </c>
      <c r="E53" s="37">
        <v>146</v>
      </c>
      <c r="F53" s="37">
        <v>112</v>
      </c>
      <c r="G53" s="38">
        <v>0.74510700423824294</v>
      </c>
      <c r="H53" s="39">
        <v>1832.4</v>
      </c>
      <c r="I53" s="40">
        <v>24.466786616225523</v>
      </c>
      <c r="J53" s="40">
        <v>13.432</v>
      </c>
      <c r="K53" s="40">
        <v>1.9818097159142674</v>
      </c>
      <c r="L53" s="40">
        <v>1.022</v>
      </c>
      <c r="M53" s="40">
        <v>0.80299999999999994</v>
      </c>
      <c r="N53" s="40">
        <v>0.36700179924338283</v>
      </c>
      <c r="O53" s="40">
        <v>0.19573429292980418</v>
      </c>
      <c r="P53" s="40">
        <v>0.39146858585960836</v>
      </c>
      <c r="Q53" s="40">
        <v>18.193014393947063</v>
      </c>
      <c r="R53" s="40">
        <v>9.0529769003112559</v>
      </c>
      <c r="S53" s="38">
        <v>0.37001086584486892</v>
      </c>
      <c r="T53" s="40">
        <v>6.2737722222784598</v>
      </c>
      <c r="U53" s="38">
        <v>0.25641995087813912</v>
      </c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>
      <c r="A54" s="36">
        <v>45962</v>
      </c>
      <c r="B54" s="37">
        <v>2025</v>
      </c>
      <c r="C54" s="37" t="s">
        <v>45</v>
      </c>
      <c r="D54" s="37" t="s">
        <v>38</v>
      </c>
      <c r="E54" s="37">
        <v>128</v>
      </c>
      <c r="F54" s="37">
        <v>105</v>
      </c>
      <c r="G54" s="38">
        <v>0.78268279755988135</v>
      </c>
      <c r="H54" s="39">
        <v>2091</v>
      </c>
      <c r="I54" s="40">
        <v>27.49470745892156</v>
      </c>
      <c r="J54" s="40">
        <v>13.44</v>
      </c>
      <c r="K54" s="40">
        <v>1.7871559848299015</v>
      </c>
      <c r="L54" s="40">
        <v>1.1519999999999999</v>
      </c>
      <c r="M54" s="40">
        <v>0.70399999999999996</v>
      </c>
      <c r="N54" s="40">
        <v>0.32993648950705873</v>
      </c>
      <c r="O54" s="40">
        <v>0.21995765967137249</v>
      </c>
      <c r="P54" s="40">
        <v>0.43991531934274497</v>
      </c>
      <c r="Q54" s="40">
        <v>18.072965453351078</v>
      </c>
      <c r="R54" s="40">
        <v>12.267551474091659</v>
      </c>
      <c r="S54" s="38">
        <v>0.44617865065194756</v>
      </c>
      <c r="T54" s="40">
        <v>9.4217420055704828</v>
      </c>
      <c r="U54" s="38">
        <v>0.34267475002769265</v>
      </c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>
      <c r="A55" s="36">
        <v>45962</v>
      </c>
      <c r="B55" s="37">
        <v>2025</v>
      </c>
      <c r="C55" s="37" t="s">
        <v>45</v>
      </c>
      <c r="D55" s="37" t="s">
        <v>39</v>
      </c>
      <c r="E55" s="37">
        <v>111</v>
      </c>
      <c r="F55" s="37">
        <v>92</v>
      </c>
      <c r="G55" s="38">
        <v>0.78888905245207941</v>
      </c>
      <c r="H55" s="39">
        <v>2244</v>
      </c>
      <c r="I55" s="40">
        <v>26.058330736100302</v>
      </c>
      <c r="J55" s="40">
        <v>12.21</v>
      </c>
      <c r="K55" s="40">
        <v>1.7980248207909211</v>
      </c>
      <c r="L55" s="40">
        <v>1.1100000000000001</v>
      </c>
      <c r="M55" s="40">
        <v>0.61049999999999993</v>
      </c>
      <c r="N55" s="40">
        <v>0.31269996883320361</v>
      </c>
      <c r="O55" s="40">
        <v>0.20846664588880243</v>
      </c>
      <c r="P55" s="40">
        <v>0.41693329177760485</v>
      </c>
      <c r="Q55" s="40">
        <v>16.666624727290529</v>
      </c>
      <c r="R55" s="40">
        <v>12.05030591530938</v>
      </c>
      <c r="S55" s="38">
        <v>0.46243583433436536</v>
      </c>
      <c r="T55" s="40">
        <v>9.3917060088097735</v>
      </c>
      <c r="U55" s="38">
        <v>0.3604108837178443</v>
      </c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>
      <c r="A56" s="36">
        <v>45962</v>
      </c>
      <c r="B56" s="37">
        <v>2025</v>
      </c>
      <c r="C56" s="37" t="s">
        <v>45</v>
      </c>
      <c r="D56" s="37" t="s">
        <v>40</v>
      </c>
      <c r="E56" s="37">
        <v>84</v>
      </c>
      <c r="F56" s="37">
        <v>71</v>
      </c>
      <c r="G56" s="38">
        <v>0.81368996514856373</v>
      </c>
      <c r="H56" s="39">
        <v>2448</v>
      </c>
      <c r="I56" s="40">
        <v>22.62813207400665</v>
      </c>
      <c r="J56" s="40">
        <v>10.08</v>
      </c>
      <c r="K56" s="40">
        <v>1.6518536414024858</v>
      </c>
      <c r="L56" s="40">
        <v>0.92399999999999993</v>
      </c>
      <c r="M56" s="40">
        <v>0.46199999999999997</v>
      </c>
      <c r="N56" s="40">
        <v>0.27153758488807983</v>
      </c>
      <c r="O56" s="40">
        <v>0.1810250565920532</v>
      </c>
      <c r="P56" s="40">
        <v>0.3620501131841064</v>
      </c>
      <c r="Q56" s="40">
        <v>13.932466396066724</v>
      </c>
      <c r="R56" s="40">
        <v>10.896278432604165</v>
      </c>
      <c r="S56" s="38">
        <v>0.4815368054670725</v>
      </c>
      <c r="T56" s="40">
        <v>8.6956656779399264</v>
      </c>
      <c r="U56" s="38">
        <v>0.38428561621879503</v>
      </c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>
      <c r="A57" s="36">
        <v>45962</v>
      </c>
      <c r="B57" s="37">
        <v>2025</v>
      </c>
      <c r="C57" s="37" t="s">
        <v>45</v>
      </c>
      <c r="D57" s="37" t="s">
        <v>41</v>
      </c>
      <c r="E57" s="37">
        <v>170</v>
      </c>
      <c r="F57" s="37">
        <v>134</v>
      </c>
      <c r="G57" s="38">
        <v>0.75911425487304396</v>
      </c>
      <c r="H57" s="39">
        <v>1989</v>
      </c>
      <c r="I57" s="40">
        <v>32.371789743086865</v>
      </c>
      <c r="J57" s="40">
        <v>16.32</v>
      </c>
      <c r="K57" s="40">
        <v>2.4926278102176886</v>
      </c>
      <c r="L57" s="40">
        <v>1.36</v>
      </c>
      <c r="M57" s="40">
        <v>0.93499999999999994</v>
      </c>
      <c r="N57" s="40">
        <v>0.38846147691704236</v>
      </c>
      <c r="O57" s="40">
        <v>0.25897431794469494</v>
      </c>
      <c r="P57" s="40">
        <v>0.51794863588938989</v>
      </c>
      <c r="Q57" s="40">
        <v>22.273012240968814</v>
      </c>
      <c r="R57" s="40">
        <v>13.559161932869177</v>
      </c>
      <c r="S57" s="38">
        <v>0.41885734587055984</v>
      </c>
      <c r="T57" s="40">
        <v>10.09877750211805</v>
      </c>
      <c r="U57" s="38">
        <v>0.31196228513360735</v>
      </c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>
      <c r="A58" s="36">
        <v>45962</v>
      </c>
      <c r="B58" s="37">
        <v>2025</v>
      </c>
      <c r="C58" s="37" t="s">
        <v>45</v>
      </c>
      <c r="D58" s="37" t="s">
        <v>42</v>
      </c>
      <c r="E58" s="37">
        <v>147</v>
      </c>
      <c r="F58" s="37">
        <v>113</v>
      </c>
      <c r="G58" s="38">
        <v>0.72943175255456805</v>
      </c>
      <c r="H58" s="39">
        <v>1836</v>
      </c>
      <c r="I58" s="40">
        <v>24.21339949423858</v>
      </c>
      <c r="J58" s="40">
        <v>13.523999999999999</v>
      </c>
      <c r="K58" s="40">
        <v>1.961285359033325</v>
      </c>
      <c r="L58" s="40">
        <v>1.0289999999999999</v>
      </c>
      <c r="M58" s="40">
        <v>0.8085</v>
      </c>
      <c r="N58" s="40">
        <v>0.29056079393086298</v>
      </c>
      <c r="O58" s="40">
        <v>0.19370719595390865</v>
      </c>
      <c r="P58" s="40">
        <v>0.38741439190781729</v>
      </c>
      <c r="Q58" s="40">
        <v>18.19446774082591</v>
      </c>
      <c r="R58" s="40">
        <v>8.7281141352052565</v>
      </c>
      <c r="S58" s="38">
        <v>0.36046628385584828</v>
      </c>
      <c r="T58" s="40">
        <v>6.0189317534126694</v>
      </c>
      <c r="U58" s="38">
        <v>0.24857855068408857</v>
      </c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>
      <c r="A59" s="36">
        <v>45992</v>
      </c>
      <c r="B59" s="37">
        <v>2025</v>
      </c>
      <c r="C59" s="37" t="s">
        <v>45</v>
      </c>
      <c r="D59" s="37" t="s">
        <v>38</v>
      </c>
      <c r="E59" s="37">
        <v>129</v>
      </c>
      <c r="F59" s="37">
        <v>106</v>
      </c>
      <c r="G59" s="38">
        <v>0.75132340960761279</v>
      </c>
      <c r="H59" s="39">
        <v>2095.1</v>
      </c>
      <c r="I59" s="40">
        <v>26.696696575952704</v>
      </c>
      <c r="J59" s="40">
        <v>13.545</v>
      </c>
      <c r="K59" s="40">
        <v>1.7352852774369258</v>
      </c>
      <c r="L59" s="40">
        <v>1.1609999999999998</v>
      </c>
      <c r="M59" s="40">
        <v>0.70949999999999991</v>
      </c>
      <c r="N59" s="40">
        <v>0.32036035891143244</v>
      </c>
      <c r="O59" s="40">
        <v>0.21357357260762164</v>
      </c>
      <c r="P59" s="40">
        <v>0.42714714521524327</v>
      </c>
      <c r="Q59" s="40">
        <v>18.111866354171223</v>
      </c>
      <c r="R59" s="40">
        <v>11.416411298515778</v>
      </c>
      <c r="S59" s="38">
        <v>0.42763385597299763</v>
      </c>
      <c r="T59" s="40">
        <v>8.5848302217814805</v>
      </c>
      <c r="U59" s="38">
        <v>0.32156900751212592</v>
      </c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>
      <c r="A60" s="36">
        <v>45992</v>
      </c>
      <c r="B60" s="37">
        <v>2025</v>
      </c>
      <c r="C60" s="37" t="s">
        <v>45</v>
      </c>
      <c r="D60" s="37" t="s">
        <v>39</v>
      </c>
      <c r="E60" s="37">
        <v>112</v>
      </c>
      <c r="F60" s="37">
        <v>93</v>
      </c>
      <c r="G60" s="38">
        <v>0.76412731611275897</v>
      </c>
      <c r="H60" s="39">
        <v>2248.4</v>
      </c>
      <c r="I60" s="40">
        <v>25.564790200313158</v>
      </c>
      <c r="J60" s="40">
        <v>12.32</v>
      </c>
      <c r="K60" s="40">
        <v>1.7639705238216081</v>
      </c>
      <c r="L60" s="40">
        <v>1.1200000000000001</v>
      </c>
      <c r="M60" s="40">
        <v>0.61599999999999999</v>
      </c>
      <c r="N60" s="40">
        <v>0.30677748240375791</v>
      </c>
      <c r="O60" s="40">
        <v>0.20451832160250527</v>
      </c>
      <c r="P60" s="40">
        <v>0.40903664320501054</v>
      </c>
      <c r="Q60" s="40">
        <v>16.740302971032882</v>
      </c>
      <c r="R60" s="40">
        <v>11.480819676491549</v>
      </c>
      <c r="S60" s="38">
        <v>0.44908718540357567</v>
      </c>
      <c r="T60" s="40">
        <v>8.8244872292802761</v>
      </c>
      <c r="U60" s="38">
        <v>0.34518128880135224</v>
      </c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>
      <c r="A61" s="36">
        <v>45992</v>
      </c>
      <c r="B61" s="37">
        <v>2025</v>
      </c>
      <c r="C61" s="37" t="s">
        <v>45</v>
      </c>
      <c r="D61" s="37" t="s">
        <v>40</v>
      </c>
      <c r="E61" s="37">
        <v>85</v>
      </c>
      <c r="F61" s="37">
        <v>72</v>
      </c>
      <c r="G61" s="38">
        <v>0.79419145370455035</v>
      </c>
      <c r="H61" s="39">
        <v>2452.8000000000002</v>
      </c>
      <c r="I61" s="40">
        <v>22.440877028887929</v>
      </c>
      <c r="J61" s="40">
        <v>10.199999999999999</v>
      </c>
      <c r="K61" s="40">
        <v>1.6381840231088189</v>
      </c>
      <c r="L61" s="40">
        <v>0.93499999999999994</v>
      </c>
      <c r="M61" s="40">
        <v>0.46749999999999997</v>
      </c>
      <c r="N61" s="40">
        <v>0.26929052434665518</v>
      </c>
      <c r="O61" s="40">
        <v>0.17952701623110343</v>
      </c>
      <c r="P61" s="40">
        <v>0.35905403246220685</v>
      </c>
      <c r="Q61" s="40">
        <v>14.048555596148784</v>
      </c>
      <c r="R61" s="40">
        <v>10.602693005779111</v>
      </c>
      <c r="S61" s="38">
        <v>0.47247230988924205</v>
      </c>
      <c r="T61" s="40">
        <v>8.3923214327391449</v>
      </c>
      <c r="U61" s="38">
        <v>0.3739747524990128</v>
      </c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>
      <c r="A62" s="36">
        <v>45992</v>
      </c>
      <c r="B62" s="37">
        <v>2025</v>
      </c>
      <c r="C62" s="37" t="s">
        <v>45</v>
      </c>
      <c r="D62" s="37" t="s">
        <v>41</v>
      </c>
      <c r="E62" s="37">
        <v>172</v>
      </c>
      <c r="F62" s="37">
        <v>136</v>
      </c>
      <c r="G62" s="38">
        <v>0.73573313385940498</v>
      </c>
      <c r="H62" s="39">
        <v>1992.9</v>
      </c>
      <c r="I62" s="40">
        <v>31.905438159312563</v>
      </c>
      <c r="J62" s="40">
        <v>16.512</v>
      </c>
      <c r="K62" s="40">
        <v>2.4567187382670674</v>
      </c>
      <c r="L62" s="40">
        <v>1.3760000000000001</v>
      </c>
      <c r="M62" s="40">
        <v>0.94599999999999995</v>
      </c>
      <c r="N62" s="40">
        <v>0.38286525791175074</v>
      </c>
      <c r="O62" s="40">
        <v>0.25524350527450052</v>
      </c>
      <c r="P62" s="40">
        <v>0.51048701054900103</v>
      </c>
      <c r="Q62" s="40">
        <v>22.439314512002319</v>
      </c>
      <c r="R62" s="40">
        <v>12.936719421045495</v>
      </c>
      <c r="S62" s="38">
        <v>0.40547067106393975</v>
      </c>
      <c r="T62" s="40">
        <v>9.4661236473102441</v>
      </c>
      <c r="U62" s="38">
        <v>0.29669310918230629</v>
      </c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>
      <c r="A63" s="36">
        <v>45992</v>
      </c>
      <c r="B63" s="37">
        <v>2025</v>
      </c>
      <c r="C63" s="37" t="s">
        <v>45</v>
      </c>
      <c r="D63" s="37" t="s">
        <v>42</v>
      </c>
      <c r="E63" s="37">
        <v>149</v>
      </c>
      <c r="F63" s="37">
        <v>115</v>
      </c>
      <c r="G63" s="38">
        <v>0.71266841504443801</v>
      </c>
      <c r="H63" s="39">
        <v>1839.6000000000001</v>
      </c>
      <c r="I63" s="40">
        <v>24.122856620209763</v>
      </c>
      <c r="J63" s="40">
        <v>13.708</v>
      </c>
      <c r="K63" s="40">
        <v>1.9539513862369908</v>
      </c>
      <c r="L63" s="40">
        <v>1.0429999999999999</v>
      </c>
      <c r="M63" s="40">
        <v>0.81950000000000001</v>
      </c>
      <c r="N63" s="40">
        <v>0.28947427944251719</v>
      </c>
      <c r="O63" s="40">
        <v>0.19298285296167811</v>
      </c>
      <c r="P63" s="40">
        <v>0.38596570592335622</v>
      </c>
      <c r="Q63" s="40">
        <v>18.392874224564544</v>
      </c>
      <c r="R63" s="40">
        <v>8.4609052339727722</v>
      </c>
      <c r="S63" s="38">
        <v>0.35074225939246162</v>
      </c>
      <c r="T63" s="40">
        <v>5.7299823956452194</v>
      </c>
      <c r="U63" s="38">
        <v>0.23753332724469817</v>
      </c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>
      <c r="A64" s="36">
        <v>46023</v>
      </c>
      <c r="B64" s="37">
        <v>2026</v>
      </c>
      <c r="C64" s="37" t="s">
        <v>37</v>
      </c>
      <c r="D64" s="37" t="s">
        <v>38</v>
      </c>
      <c r="E64" s="37">
        <v>130</v>
      </c>
      <c r="F64" s="37">
        <v>107</v>
      </c>
      <c r="G64" s="38">
        <v>0.78400764498929421</v>
      </c>
      <c r="H64" s="39">
        <v>2142.25</v>
      </c>
      <c r="I64" s="40">
        <v>28.753731262428765</v>
      </c>
      <c r="J64" s="40">
        <v>14.468999999999999</v>
      </c>
      <c r="K64" s="40">
        <v>1.8689925320578697</v>
      </c>
      <c r="L64" s="40">
        <v>1.2284999999999999</v>
      </c>
      <c r="M64" s="40">
        <v>0.71499999999999997</v>
      </c>
      <c r="N64" s="40">
        <v>0.34504477514914517</v>
      </c>
      <c r="O64" s="40">
        <v>0.23002985009943014</v>
      </c>
      <c r="P64" s="40">
        <v>0.46005970019886028</v>
      </c>
      <c r="Q64" s="40">
        <v>19.316626857505305</v>
      </c>
      <c r="R64" s="40">
        <v>12.415738730370897</v>
      </c>
      <c r="S64" s="38">
        <v>0.43179574216143546</v>
      </c>
      <c r="T64" s="40">
        <v>9.4371044049234598</v>
      </c>
      <c r="U64" s="38">
        <v>0.32820451435652487</v>
      </c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>
      <c r="A65" s="36">
        <v>46023</v>
      </c>
      <c r="B65" s="37">
        <v>2026</v>
      </c>
      <c r="C65" s="37" t="s">
        <v>37</v>
      </c>
      <c r="D65" s="37" t="s">
        <v>39</v>
      </c>
      <c r="E65" s="37">
        <v>112</v>
      </c>
      <c r="F65" s="37">
        <v>93</v>
      </c>
      <c r="G65" s="38">
        <v>0.79501996020556964</v>
      </c>
      <c r="H65" s="39">
        <v>2299</v>
      </c>
      <c r="I65" s="40">
        <v>27.196933221067557</v>
      </c>
      <c r="J65" s="40">
        <v>13.059200000000001</v>
      </c>
      <c r="K65" s="40">
        <v>1.8765883922536615</v>
      </c>
      <c r="L65" s="40">
        <v>1.1760000000000002</v>
      </c>
      <c r="M65" s="40">
        <v>0.61599999999999999</v>
      </c>
      <c r="N65" s="40">
        <v>0.32636319865281066</v>
      </c>
      <c r="O65" s="40">
        <v>0.21757546576854045</v>
      </c>
      <c r="P65" s="40">
        <v>0.4351509315370809</v>
      </c>
      <c r="Q65" s="40">
        <v>17.706877988212096</v>
      </c>
      <c r="R65" s="40">
        <v>12.261144828813894</v>
      </c>
      <c r="S65" s="38">
        <v>0.45082821394421208</v>
      </c>
      <c r="T65" s="40">
        <v>9.490055232855461</v>
      </c>
      <c r="U65" s="38">
        <v>0.34893843198115371</v>
      </c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>
      <c r="A66" s="36">
        <v>46023</v>
      </c>
      <c r="B66" s="37">
        <v>2026</v>
      </c>
      <c r="C66" s="37" t="s">
        <v>37</v>
      </c>
      <c r="D66" s="37" t="s">
        <v>40</v>
      </c>
      <c r="E66" s="37">
        <v>86</v>
      </c>
      <c r="F66" s="37">
        <v>73</v>
      </c>
      <c r="G66" s="38">
        <v>0.82112472586037866</v>
      </c>
      <c r="H66" s="39">
        <v>2508</v>
      </c>
      <c r="I66" s="40">
        <v>24.053567889507455</v>
      </c>
      <c r="J66" s="40">
        <v>10.939200000000001</v>
      </c>
      <c r="K66" s="40">
        <v>1.7559104559340444</v>
      </c>
      <c r="L66" s="40">
        <v>0.99329999999999996</v>
      </c>
      <c r="M66" s="40">
        <v>0.47299999999999998</v>
      </c>
      <c r="N66" s="40">
        <v>0.28864281467408948</v>
      </c>
      <c r="O66" s="40">
        <v>0.19242854311605964</v>
      </c>
      <c r="P66" s="40">
        <v>0.38485708623211928</v>
      </c>
      <c r="Q66" s="40">
        <v>15.027338899956314</v>
      </c>
      <c r="R66" s="40">
        <v>11.35845743357341</v>
      </c>
      <c r="S66" s="38">
        <v>0.47221507785246891</v>
      </c>
      <c r="T66" s="40">
        <v>9.0262289895511412</v>
      </c>
      <c r="U66" s="38">
        <v>0.37525530644825977</v>
      </c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>
      <c r="A67" s="36">
        <v>46023</v>
      </c>
      <c r="B67" s="37">
        <v>2026</v>
      </c>
      <c r="C67" s="37" t="s">
        <v>37</v>
      </c>
      <c r="D67" s="37" t="s">
        <v>41</v>
      </c>
      <c r="E67" s="37">
        <v>173</v>
      </c>
      <c r="F67" s="37">
        <v>137</v>
      </c>
      <c r="G67" s="38">
        <v>0.75950991803368029</v>
      </c>
      <c r="H67" s="39">
        <v>2037.7499999999998</v>
      </c>
      <c r="I67" s="40">
        <v>33.925394073571049</v>
      </c>
      <c r="J67" s="40">
        <v>17.604479999999999</v>
      </c>
      <c r="K67" s="40">
        <v>2.6122553436649709</v>
      </c>
      <c r="L67" s="40">
        <v>1.4532000000000003</v>
      </c>
      <c r="M67" s="40">
        <v>0.9514999999999999</v>
      </c>
      <c r="N67" s="40">
        <v>0.4071047288828526</v>
      </c>
      <c r="O67" s="40">
        <v>0.2714031525885684</v>
      </c>
      <c r="P67" s="40">
        <v>0.54280630517713679</v>
      </c>
      <c r="Q67" s="40">
        <v>23.842749530313526</v>
      </c>
      <c r="R67" s="40">
        <v>13.70865872990608</v>
      </c>
      <c r="S67" s="38">
        <v>0.40408252001958489</v>
      </c>
      <c r="T67" s="40">
        <v>10.082644543257523</v>
      </c>
      <c r="U67" s="38">
        <v>0.29720051361502742</v>
      </c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>
      <c r="A68" s="36">
        <v>46023</v>
      </c>
      <c r="B68" s="37">
        <v>2026</v>
      </c>
      <c r="C68" s="37" t="s">
        <v>37</v>
      </c>
      <c r="D68" s="37" t="s">
        <v>42</v>
      </c>
      <c r="E68" s="37">
        <v>150</v>
      </c>
      <c r="F68" s="37">
        <v>116</v>
      </c>
      <c r="G68" s="38">
        <v>0.73927832326851983</v>
      </c>
      <c r="H68" s="39">
        <v>1880.9999999999998</v>
      </c>
      <c r="I68" s="40">
        <v>25.809211683823673</v>
      </c>
      <c r="J68" s="40">
        <v>14.628000000000002</v>
      </c>
      <c r="K68" s="40">
        <v>2.0905461463897175</v>
      </c>
      <c r="L68" s="40">
        <v>1.1025</v>
      </c>
      <c r="M68" s="40">
        <v>0.82499999999999996</v>
      </c>
      <c r="N68" s="40">
        <v>0.30971054020588407</v>
      </c>
      <c r="O68" s="40">
        <v>0.20647369347058939</v>
      </c>
      <c r="P68" s="40">
        <v>0.41294738694117877</v>
      </c>
      <c r="Q68" s="40">
        <v>19.575177767007371</v>
      </c>
      <c r="R68" s="40">
        <v>9.0906655374339529</v>
      </c>
      <c r="S68" s="38">
        <v>0.35222561807773733</v>
      </c>
      <c r="T68" s="40">
        <v>6.2340339168163013</v>
      </c>
      <c r="U68" s="38">
        <v>0.24154298059105694</v>
      </c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>
      <c r="A69" s="36">
        <v>46054</v>
      </c>
      <c r="B69" s="37">
        <v>2026</v>
      </c>
      <c r="C69" s="37" t="s">
        <v>37</v>
      </c>
      <c r="D69" s="37" t="s">
        <v>38</v>
      </c>
      <c r="E69" s="37">
        <v>131</v>
      </c>
      <c r="F69" s="37">
        <v>107</v>
      </c>
      <c r="G69" s="38">
        <v>0.77879928530082254</v>
      </c>
      <c r="H69" s="39">
        <v>2146.5345000000002</v>
      </c>
      <c r="I69" s="40">
        <v>28.619838430187325</v>
      </c>
      <c r="J69" s="40">
        <v>14.580299999999999</v>
      </c>
      <c r="K69" s="40">
        <v>1.8602894979621762</v>
      </c>
      <c r="L69" s="40">
        <v>1.2379499999999999</v>
      </c>
      <c r="M69" s="40">
        <v>0.72049999999999992</v>
      </c>
      <c r="N69" s="40">
        <v>0.42929757645280986</v>
      </c>
      <c r="O69" s="40">
        <v>0.2289587074414986</v>
      </c>
      <c r="P69" s="40">
        <v>0.4579174148829972</v>
      </c>
      <c r="Q69" s="40">
        <v>19.515213196739484</v>
      </c>
      <c r="R69" s="40">
        <v>12.17924893222515</v>
      </c>
      <c r="S69" s="38">
        <v>0.42555267954898213</v>
      </c>
      <c r="T69" s="40">
        <v>9.104625233447841</v>
      </c>
      <c r="U69" s="38">
        <v>0.3181228732530007</v>
      </c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>
      <c r="A70" s="36">
        <v>46054</v>
      </c>
      <c r="B70" s="37">
        <v>2026</v>
      </c>
      <c r="C70" s="37" t="s">
        <v>37</v>
      </c>
      <c r="D70" s="37" t="s">
        <v>39</v>
      </c>
      <c r="E70" s="37">
        <v>113</v>
      </c>
      <c r="F70" s="37">
        <v>94</v>
      </c>
      <c r="G70" s="38">
        <v>0.80493948448820063</v>
      </c>
      <c r="H70" s="39">
        <v>2303.598</v>
      </c>
      <c r="I70" s="40">
        <v>27.888025078284272</v>
      </c>
      <c r="J70" s="40">
        <v>13.175800000000001</v>
      </c>
      <c r="K70" s="40">
        <v>1.9242737304016149</v>
      </c>
      <c r="L70" s="40">
        <v>1.1865000000000001</v>
      </c>
      <c r="M70" s="40">
        <v>0.62149999999999994</v>
      </c>
      <c r="N70" s="40">
        <v>0.41832037617426404</v>
      </c>
      <c r="O70" s="40">
        <v>0.22310420062627417</v>
      </c>
      <c r="P70" s="40">
        <v>0.44620840125254835</v>
      </c>
      <c r="Q70" s="40">
        <v>17.995706708454701</v>
      </c>
      <c r="R70" s="40">
        <v>12.787951347882657</v>
      </c>
      <c r="S70" s="38">
        <v>0.45854632273119705</v>
      </c>
      <c r="T70" s="40">
        <v>9.8923183698295709</v>
      </c>
      <c r="U70" s="38">
        <v>0.3547156294524591</v>
      </c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>
      <c r="A71" s="36">
        <v>46054</v>
      </c>
      <c r="B71" s="37">
        <v>2026</v>
      </c>
      <c r="C71" s="37" t="s">
        <v>37</v>
      </c>
      <c r="D71" s="37" t="s">
        <v>40</v>
      </c>
      <c r="E71" s="37">
        <v>87</v>
      </c>
      <c r="F71" s="37">
        <v>74</v>
      </c>
      <c r="G71" s="38">
        <v>0.82661489752172701</v>
      </c>
      <c r="H71" s="39">
        <v>2513.0160000000001</v>
      </c>
      <c r="I71" s="40">
        <v>24.595190125595852</v>
      </c>
      <c r="J71" s="40">
        <v>11.0664</v>
      </c>
      <c r="K71" s="40">
        <v>1.7954488791684975</v>
      </c>
      <c r="L71" s="40">
        <v>1.00485</v>
      </c>
      <c r="M71" s="40">
        <v>0.47849999999999998</v>
      </c>
      <c r="N71" s="40">
        <v>0.36892785188393779</v>
      </c>
      <c r="O71" s="40">
        <v>0.19676152100476682</v>
      </c>
      <c r="P71" s="40">
        <v>0.39352304200953364</v>
      </c>
      <c r="Q71" s="40">
        <v>15.304411294066735</v>
      </c>
      <c r="R71" s="40">
        <v>11.733341246427354</v>
      </c>
      <c r="S71" s="38">
        <v>0.47705836736820501</v>
      </c>
      <c r="T71" s="40">
        <v>9.2907788315291171</v>
      </c>
      <c r="U71" s="38">
        <v>0.3777477947552168</v>
      </c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>
      <c r="A72" s="36">
        <v>46054</v>
      </c>
      <c r="B72" s="37">
        <v>2026</v>
      </c>
      <c r="C72" s="37" t="s">
        <v>37</v>
      </c>
      <c r="D72" s="37" t="s">
        <v>41</v>
      </c>
      <c r="E72" s="37">
        <v>175</v>
      </c>
      <c r="F72" s="37">
        <v>138</v>
      </c>
      <c r="G72" s="38">
        <v>0.7590855733987143</v>
      </c>
      <c r="H72" s="39">
        <v>2041.8254999999997</v>
      </c>
      <c r="I72" s="40">
        <v>34.222239792283368</v>
      </c>
      <c r="J72" s="40">
        <v>17.808</v>
      </c>
      <c r="K72" s="40">
        <v>2.6351124640058194</v>
      </c>
      <c r="L72" s="40">
        <v>1.4700000000000002</v>
      </c>
      <c r="M72" s="40">
        <v>0.96249999999999991</v>
      </c>
      <c r="N72" s="40">
        <v>0.51333359688425051</v>
      </c>
      <c r="O72" s="40">
        <v>0.27377791833826692</v>
      </c>
      <c r="P72" s="40">
        <v>0.54755583667653385</v>
      </c>
      <c r="Q72" s="40">
        <v>24.210279815904869</v>
      </c>
      <c r="R72" s="40">
        <v>13.77912732827755</v>
      </c>
      <c r="S72" s="38">
        <v>0.40263663079657774</v>
      </c>
      <c r="T72" s="40">
        <v>10.011959976378499</v>
      </c>
      <c r="U72" s="38">
        <v>0.29255712183502536</v>
      </c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>
      <c r="A73" s="36">
        <v>46054</v>
      </c>
      <c r="B73" s="37">
        <v>2026</v>
      </c>
      <c r="C73" s="37" t="s">
        <v>37</v>
      </c>
      <c r="D73" s="37" t="s">
        <v>42</v>
      </c>
      <c r="E73" s="37">
        <v>152</v>
      </c>
      <c r="F73" s="37">
        <v>117</v>
      </c>
      <c r="G73" s="38">
        <v>0.7421264352875947</v>
      </c>
      <c r="H73" s="39">
        <v>1884.7619999999997</v>
      </c>
      <c r="I73" s="40">
        <v>26.184257506845682</v>
      </c>
      <c r="J73" s="40">
        <v>14.823040000000001</v>
      </c>
      <c r="K73" s="40">
        <v>2.1209248580545004</v>
      </c>
      <c r="L73" s="40">
        <v>1.1172000000000002</v>
      </c>
      <c r="M73" s="40">
        <v>0.83599999999999997</v>
      </c>
      <c r="N73" s="40">
        <v>0.3927638626026852</v>
      </c>
      <c r="O73" s="40">
        <v>0.20947406005476546</v>
      </c>
      <c r="P73" s="40">
        <v>0.41894812010953092</v>
      </c>
      <c r="Q73" s="40">
        <v>19.91835090082148</v>
      </c>
      <c r="R73" s="40">
        <v>9.2402926487911827</v>
      </c>
      <c r="S73" s="38">
        <v>0.35289496547211147</v>
      </c>
      <c r="T73" s="40">
        <v>6.2659066060242026</v>
      </c>
      <c r="U73" s="38">
        <v>0.23930052644746666</v>
      </c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>
      <c r="A74" s="36">
        <v>46082</v>
      </c>
      <c r="B74" s="37">
        <v>2026</v>
      </c>
      <c r="C74" s="37" t="s">
        <v>37</v>
      </c>
      <c r="D74" s="37" t="s">
        <v>38</v>
      </c>
      <c r="E74" s="37">
        <v>132</v>
      </c>
      <c r="F74" s="37">
        <v>108</v>
      </c>
      <c r="G74" s="38">
        <v>0.77397071084155555</v>
      </c>
      <c r="H74" s="39">
        <v>2150.819</v>
      </c>
      <c r="I74" s="40">
        <v>28.765513330355926</v>
      </c>
      <c r="J74" s="40">
        <v>14.691599999999999</v>
      </c>
      <c r="K74" s="40">
        <v>1.8697583664731352</v>
      </c>
      <c r="L74" s="40">
        <v>1.2474000000000001</v>
      </c>
      <c r="M74" s="40">
        <v>0.72599999999999998</v>
      </c>
      <c r="N74" s="40">
        <v>0.43148269995533889</v>
      </c>
      <c r="O74" s="40">
        <v>0.23012410664284741</v>
      </c>
      <c r="P74" s="40">
        <v>0.46024821328569482</v>
      </c>
      <c r="Q74" s="40">
        <v>19.656613386357012</v>
      </c>
      <c r="R74" s="40">
        <v>12.204154963882793</v>
      </c>
      <c r="S74" s="38">
        <v>0.4242634165337103</v>
      </c>
      <c r="T74" s="40">
        <v>9.1088999439989138</v>
      </c>
      <c r="U74" s="38">
        <v>0.31666043429812157</v>
      </c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1:52">
      <c r="A75" s="36">
        <v>46082</v>
      </c>
      <c r="B75" s="37">
        <v>2026</v>
      </c>
      <c r="C75" s="37" t="s">
        <v>37</v>
      </c>
      <c r="D75" s="37" t="s">
        <v>39</v>
      </c>
      <c r="E75" s="37">
        <v>114</v>
      </c>
      <c r="F75" s="37">
        <v>95</v>
      </c>
      <c r="G75" s="38">
        <v>0.80422387234087078</v>
      </c>
      <c r="H75" s="39">
        <v>2308.1959999999999</v>
      </c>
      <c r="I75" s="40">
        <v>28.215856143673967</v>
      </c>
      <c r="J75" s="40">
        <v>13.292400000000001</v>
      </c>
      <c r="K75" s="40">
        <v>1.9468940739135039</v>
      </c>
      <c r="L75" s="40">
        <v>1.1970000000000003</v>
      </c>
      <c r="M75" s="40">
        <v>0.627</v>
      </c>
      <c r="N75" s="40">
        <v>0.42323784215510951</v>
      </c>
      <c r="O75" s="40">
        <v>0.22572684914939176</v>
      </c>
      <c r="P75" s="40">
        <v>0.45145369829878351</v>
      </c>
      <c r="Q75" s="40">
        <v>18.163712463516791</v>
      </c>
      <c r="R75" s="40">
        <v>12.976562069760464</v>
      </c>
      <c r="S75" s="38">
        <v>0.45990318364554839</v>
      </c>
      <c r="T75" s="40">
        <v>10.052143680157176</v>
      </c>
      <c r="U75" s="38">
        <v>0.35625868054373677</v>
      </c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1:52">
      <c r="A76" s="36">
        <v>46082</v>
      </c>
      <c r="B76" s="37">
        <v>2026</v>
      </c>
      <c r="C76" s="37" t="s">
        <v>37</v>
      </c>
      <c r="D76" s="37" t="s">
        <v>40</v>
      </c>
      <c r="E76" s="37">
        <v>88</v>
      </c>
      <c r="F76" s="37">
        <v>75</v>
      </c>
      <c r="G76" s="38">
        <v>0.82335406167244274</v>
      </c>
      <c r="H76" s="39">
        <v>2518.0320000000002</v>
      </c>
      <c r="I76" s="40">
        <v>24.878782495454214</v>
      </c>
      <c r="J76" s="40">
        <v>11.1936</v>
      </c>
      <c r="K76" s="40">
        <v>1.8161511221681579</v>
      </c>
      <c r="L76" s="40">
        <v>1.0164</v>
      </c>
      <c r="M76" s="40">
        <v>0.48399999999999999</v>
      </c>
      <c r="N76" s="40">
        <v>0.37318173743181321</v>
      </c>
      <c r="O76" s="40">
        <v>0.19903025996363372</v>
      </c>
      <c r="P76" s="40">
        <v>0.39806051992726743</v>
      </c>
      <c r="Q76" s="40">
        <v>15.480423639490873</v>
      </c>
      <c r="R76" s="40">
        <v>11.869031373286056</v>
      </c>
      <c r="S76" s="38">
        <v>0.47707444588394687</v>
      </c>
      <c r="T76" s="40">
        <v>9.3983588559633411</v>
      </c>
      <c r="U76" s="38">
        <v>0.37776602844936585</v>
      </c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  <row r="77" spans="1:52">
      <c r="A77" s="36">
        <v>46082</v>
      </c>
      <c r="B77" s="37">
        <v>2026</v>
      </c>
      <c r="C77" s="37" t="s">
        <v>37</v>
      </c>
      <c r="D77" s="37" t="s">
        <v>41</v>
      </c>
      <c r="E77" s="37">
        <v>176</v>
      </c>
      <c r="F77" s="37">
        <v>139</v>
      </c>
      <c r="G77" s="38">
        <v>0.76888953503146618</v>
      </c>
      <c r="H77" s="39">
        <v>2045.9009999999998</v>
      </c>
      <c r="I77" s="40">
        <v>34.985118357895551</v>
      </c>
      <c r="J77" s="40">
        <v>17.909760000000002</v>
      </c>
      <c r="K77" s="40">
        <v>2.6938541135579572</v>
      </c>
      <c r="L77" s="40">
        <v>1.4783999999999999</v>
      </c>
      <c r="M77" s="40">
        <v>0.96799999999999997</v>
      </c>
      <c r="N77" s="40">
        <v>0.52477677536843326</v>
      </c>
      <c r="O77" s="40">
        <v>0.27988094686316439</v>
      </c>
      <c r="P77" s="40">
        <v>0.55976189372632879</v>
      </c>
      <c r="Q77" s="40">
        <v>24.414433729515888</v>
      </c>
      <c r="R77" s="40">
        <v>14.381504244337592</v>
      </c>
      <c r="S77" s="38">
        <v>0.41107490611338543</v>
      </c>
      <c r="T77" s="40">
        <v>10.570684628379663</v>
      </c>
      <c r="U77" s="38">
        <v>0.30214803106401489</v>
      </c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</row>
    <row r="78" spans="1:52">
      <c r="A78" s="36">
        <v>46082</v>
      </c>
      <c r="B78" s="37">
        <v>2026</v>
      </c>
      <c r="C78" s="37" t="s">
        <v>37</v>
      </c>
      <c r="D78" s="37" t="s">
        <v>42</v>
      </c>
      <c r="E78" s="37">
        <v>153</v>
      </c>
      <c r="F78" s="37">
        <v>118</v>
      </c>
      <c r="G78" s="38">
        <v>0.74615079658575545</v>
      </c>
      <c r="H78" s="39">
        <v>1888.5239999999999</v>
      </c>
      <c r="I78" s="40">
        <v>26.604255210018469</v>
      </c>
      <c r="J78" s="40">
        <v>14.920560000000002</v>
      </c>
      <c r="K78" s="40">
        <v>2.1549446720114962</v>
      </c>
      <c r="L78" s="40">
        <v>1.1245499999999999</v>
      </c>
      <c r="M78" s="40">
        <v>0.84149999999999991</v>
      </c>
      <c r="N78" s="40">
        <v>0.39906382815027702</v>
      </c>
      <c r="O78" s="40">
        <v>0.21283404168014775</v>
      </c>
      <c r="P78" s="40">
        <v>0.42566808336029549</v>
      </c>
      <c r="Q78" s="40">
        <v>20.079120625202215</v>
      </c>
      <c r="R78" s="40">
        <v>9.528750538006971</v>
      </c>
      <c r="S78" s="38">
        <v>0.35816640844802494</v>
      </c>
      <c r="T78" s="40">
        <v>6.5251345848162536</v>
      </c>
      <c r="U78" s="38">
        <v>0.24526657609114569</v>
      </c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</row>
    <row r="79" spans="1:52">
      <c r="A79" s="36">
        <v>46113</v>
      </c>
      <c r="B79" s="37">
        <v>2026</v>
      </c>
      <c r="C79" s="37" t="s">
        <v>43</v>
      </c>
      <c r="D79" s="37" t="s">
        <v>38</v>
      </c>
      <c r="E79" s="37">
        <v>133</v>
      </c>
      <c r="F79" s="37">
        <v>109</v>
      </c>
      <c r="G79" s="38">
        <v>0.75405352851350638</v>
      </c>
      <c r="H79" s="39">
        <v>2155.1035000000002</v>
      </c>
      <c r="I79" s="40">
        <v>28.341105669609924</v>
      </c>
      <c r="J79" s="40">
        <v>14.802899999999999</v>
      </c>
      <c r="K79" s="40">
        <v>1.8421718685246451</v>
      </c>
      <c r="L79" s="40">
        <v>1.2568499999999998</v>
      </c>
      <c r="M79" s="40">
        <v>0.73149999999999993</v>
      </c>
      <c r="N79" s="40">
        <v>0.34009326803531909</v>
      </c>
      <c r="O79" s="40">
        <v>0.2267288453568794</v>
      </c>
      <c r="P79" s="40">
        <v>0.4534576907137588</v>
      </c>
      <c r="Q79" s="40">
        <v>19.653701672630604</v>
      </c>
      <c r="R79" s="40">
        <v>11.696033801085278</v>
      </c>
      <c r="S79" s="38">
        <v>0.41268798533950274</v>
      </c>
      <c r="T79" s="40">
        <v>8.6874039969793202</v>
      </c>
      <c r="U79" s="38">
        <v>0.30653017204952576</v>
      </c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</row>
    <row r="80" spans="1:52">
      <c r="A80" s="36">
        <v>46113</v>
      </c>
      <c r="B80" s="37">
        <v>2026</v>
      </c>
      <c r="C80" s="37" t="s">
        <v>43</v>
      </c>
      <c r="D80" s="37" t="s">
        <v>39</v>
      </c>
      <c r="E80" s="37">
        <v>115</v>
      </c>
      <c r="F80" s="37">
        <v>95</v>
      </c>
      <c r="G80" s="38">
        <v>0.7756726630791474</v>
      </c>
      <c r="H80" s="39">
        <v>2312.7939999999999</v>
      </c>
      <c r="I80" s="40">
        <v>27.2683604332288</v>
      </c>
      <c r="J80" s="40">
        <v>13.409000000000001</v>
      </c>
      <c r="K80" s="40">
        <v>1.8815168698927873</v>
      </c>
      <c r="L80" s="40">
        <v>1.2075000000000002</v>
      </c>
      <c r="M80" s="40">
        <v>0.63249999999999995</v>
      </c>
      <c r="N80" s="40">
        <v>0.32722032519874561</v>
      </c>
      <c r="O80" s="40">
        <v>0.21814688346583042</v>
      </c>
      <c r="P80" s="40">
        <v>0.43629376693166083</v>
      </c>
      <c r="Q80" s="40">
        <v>18.112177845489025</v>
      </c>
      <c r="R80" s="40">
        <v>11.977843563336013</v>
      </c>
      <c r="S80" s="38">
        <v>0.43925793018123666</v>
      </c>
      <c r="T80" s="40">
        <v>9.1561825877397744</v>
      </c>
      <c r="U80" s="38">
        <v>0.33578045919409927</v>
      </c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</row>
    <row r="81" spans="1:52">
      <c r="A81" s="36">
        <v>46113</v>
      </c>
      <c r="B81" s="37">
        <v>2026</v>
      </c>
      <c r="C81" s="37" t="s">
        <v>43</v>
      </c>
      <c r="D81" s="37" t="s">
        <v>40</v>
      </c>
      <c r="E81" s="37">
        <v>88</v>
      </c>
      <c r="F81" s="37">
        <v>75</v>
      </c>
      <c r="G81" s="38">
        <v>0.80019844345414703</v>
      </c>
      <c r="H81" s="39">
        <v>2523.0480000000002</v>
      </c>
      <c r="I81" s="40">
        <v>24.227268988321185</v>
      </c>
      <c r="J81" s="40">
        <v>11.1936</v>
      </c>
      <c r="K81" s="40">
        <v>1.7685906361474468</v>
      </c>
      <c r="L81" s="40">
        <v>1.0164</v>
      </c>
      <c r="M81" s="40">
        <v>0.48399999999999999</v>
      </c>
      <c r="N81" s="40">
        <v>0.29072722785985422</v>
      </c>
      <c r="O81" s="40">
        <v>0.19381815190656948</v>
      </c>
      <c r="P81" s="40">
        <v>0.38763630381313896</v>
      </c>
      <c r="Q81" s="40">
        <v>15.33477231972701</v>
      </c>
      <c r="R81" s="40">
        <v>11.265078352173738</v>
      </c>
      <c r="S81" s="38">
        <v>0.46497516321811166</v>
      </c>
      <c r="T81" s="40">
        <v>8.8924966685941751</v>
      </c>
      <c r="U81" s="38">
        <v>0.36704494728154563</v>
      </c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</row>
    <row r="82" spans="1:52">
      <c r="A82" s="36">
        <v>46113</v>
      </c>
      <c r="B82" s="37">
        <v>2026</v>
      </c>
      <c r="C82" s="37" t="s">
        <v>43</v>
      </c>
      <c r="D82" s="37" t="s">
        <v>41</v>
      </c>
      <c r="E82" s="37">
        <v>178</v>
      </c>
      <c r="F82" s="37">
        <v>141</v>
      </c>
      <c r="G82" s="38">
        <v>0.72986100684888933</v>
      </c>
      <c r="H82" s="39">
        <v>2049.9764999999998</v>
      </c>
      <c r="I82" s="40">
        <v>33.754224901636043</v>
      </c>
      <c r="J82" s="40">
        <v>18.11328</v>
      </c>
      <c r="K82" s="40">
        <v>2.5990753174259753</v>
      </c>
      <c r="L82" s="40">
        <v>1.4952000000000001</v>
      </c>
      <c r="M82" s="40">
        <v>0.97899999999999998</v>
      </c>
      <c r="N82" s="40">
        <v>0.40505069881963252</v>
      </c>
      <c r="O82" s="40">
        <v>0.27003379921308834</v>
      </c>
      <c r="P82" s="40">
        <v>0.54006759842617669</v>
      </c>
      <c r="Q82" s="40">
        <v>24.401707413884871</v>
      </c>
      <c r="R82" s="40">
        <v>13.041869584210069</v>
      </c>
      <c r="S82" s="38">
        <v>0.38637739785806602</v>
      </c>
      <c r="T82" s="40">
        <v>9.3525174877511716</v>
      </c>
      <c r="U82" s="38">
        <v>0.2770769441456753</v>
      </c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</row>
    <row r="83" spans="1:52">
      <c r="A83" s="36">
        <v>46113</v>
      </c>
      <c r="B83" s="37">
        <v>2026</v>
      </c>
      <c r="C83" s="37" t="s">
        <v>43</v>
      </c>
      <c r="D83" s="37" t="s">
        <v>42</v>
      </c>
      <c r="E83" s="37">
        <v>155</v>
      </c>
      <c r="F83" s="37">
        <v>119</v>
      </c>
      <c r="G83" s="38">
        <v>0.71688712458079618</v>
      </c>
      <c r="H83" s="39">
        <v>1892.2859999999998</v>
      </c>
      <c r="I83" s="40">
        <v>25.828816137842409</v>
      </c>
      <c r="J83" s="40">
        <v>15.115600000000001</v>
      </c>
      <c r="K83" s="40">
        <v>2.0921341071652351</v>
      </c>
      <c r="L83" s="40">
        <v>1.1392500000000001</v>
      </c>
      <c r="M83" s="40">
        <v>0.85249999999999992</v>
      </c>
      <c r="N83" s="40">
        <v>0.3099457936541089</v>
      </c>
      <c r="O83" s="40">
        <v>0.20663052910273927</v>
      </c>
      <c r="P83" s="40">
        <v>0.41326105820547854</v>
      </c>
      <c r="Q83" s="40">
        <v>20.129321488127562</v>
      </c>
      <c r="R83" s="40">
        <v>8.6210820306771723</v>
      </c>
      <c r="S83" s="38">
        <v>0.3337776685028247</v>
      </c>
      <c r="T83" s="40">
        <v>5.6994946497148469</v>
      </c>
      <c r="U83" s="38">
        <v>0.22066418450222278</v>
      </c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</row>
    <row r="84" spans="1:52">
      <c r="A84" s="36">
        <v>46143</v>
      </c>
      <c r="B84" s="37">
        <v>2026</v>
      </c>
      <c r="C84" s="37" t="s">
        <v>43</v>
      </c>
      <c r="D84" s="37" t="s">
        <v>38</v>
      </c>
      <c r="E84" s="37">
        <v>133</v>
      </c>
      <c r="F84" s="37">
        <v>109</v>
      </c>
      <c r="G84" s="38">
        <v>0.7786887740625047</v>
      </c>
      <c r="H84" s="39">
        <v>2159.3879999999999</v>
      </c>
      <c r="I84" s="40">
        <v>29.32520643112575</v>
      </c>
      <c r="J84" s="40">
        <v>14.802899999999999</v>
      </c>
      <c r="K84" s="40">
        <v>1.9061384180231737</v>
      </c>
      <c r="L84" s="40">
        <v>1.2568499999999998</v>
      </c>
      <c r="M84" s="40">
        <v>0.73149999999999993</v>
      </c>
      <c r="N84" s="40">
        <v>0.35190247717350903</v>
      </c>
      <c r="O84" s="40">
        <v>0.23460165144900599</v>
      </c>
      <c r="P84" s="40">
        <v>0.46920330289801199</v>
      </c>
      <c r="Q84" s="40">
        <v>19.753095849543701</v>
      </c>
      <c r="R84" s="40">
        <v>12.616168013102577</v>
      </c>
      <c r="S84" s="38">
        <v>0.43021582960492943</v>
      </c>
      <c r="T84" s="40">
        <v>9.5721105815820486</v>
      </c>
      <c r="U84" s="38">
        <v>0.32641238533353406</v>
      </c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</row>
    <row r="85" spans="1:52">
      <c r="A85" s="36">
        <v>46143</v>
      </c>
      <c r="B85" s="37">
        <v>2026</v>
      </c>
      <c r="C85" s="37" t="s">
        <v>43</v>
      </c>
      <c r="D85" s="37" t="s">
        <v>39</v>
      </c>
      <c r="E85" s="37">
        <v>116</v>
      </c>
      <c r="F85" s="37">
        <v>96</v>
      </c>
      <c r="G85" s="38">
        <v>0.7978735327117078</v>
      </c>
      <c r="H85" s="39">
        <v>2317.3919999999998</v>
      </c>
      <c r="I85" s="40">
        <v>28.400420992786174</v>
      </c>
      <c r="J85" s="40">
        <v>13.525600000000001</v>
      </c>
      <c r="K85" s="40">
        <v>1.9596290485022461</v>
      </c>
      <c r="L85" s="40">
        <v>1.218</v>
      </c>
      <c r="M85" s="40">
        <v>0.63800000000000001</v>
      </c>
      <c r="N85" s="40">
        <v>0.34080505191343408</v>
      </c>
      <c r="O85" s="40">
        <v>0.2272033679422894</v>
      </c>
      <c r="P85" s="40">
        <v>0.45440673588457881</v>
      </c>
      <c r="Q85" s="40">
        <v>18.363644204242551</v>
      </c>
      <c r="R85" s="40">
        <v>12.915191944283928</v>
      </c>
      <c r="S85" s="38">
        <v>0.45475353860298201</v>
      </c>
      <c r="T85" s="40">
        <v>10.036776788543623</v>
      </c>
      <c r="U85" s="38">
        <v>0.35340239467200174</v>
      </c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</row>
    <row r="86" spans="1:52">
      <c r="A86" s="36">
        <v>46143</v>
      </c>
      <c r="B86" s="37">
        <v>2026</v>
      </c>
      <c r="C86" s="37" t="s">
        <v>43</v>
      </c>
      <c r="D86" s="37" t="s">
        <v>40</v>
      </c>
      <c r="E86" s="37">
        <v>89</v>
      </c>
      <c r="F86" s="37">
        <v>76</v>
      </c>
      <c r="G86" s="38">
        <v>0.81694327070930106</v>
      </c>
      <c r="H86" s="39">
        <v>2528.0639999999999</v>
      </c>
      <c r="I86" s="40">
        <v>25.113864052304852</v>
      </c>
      <c r="J86" s="40">
        <v>11.3208</v>
      </c>
      <c r="K86" s="40">
        <v>1.8333120758182544</v>
      </c>
      <c r="L86" s="40">
        <v>1.0279499999999999</v>
      </c>
      <c r="M86" s="40">
        <v>0.48949999999999999</v>
      </c>
      <c r="N86" s="40">
        <v>0.3013663686276582</v>
      </c>
      <c r="O86" s="40">
        <v>0.20091091241843881</v>
      </c>
      <c r="P86" s="40">
        <v>0.40182182483687762</v>
      </c>
      <c r="Q86" s="40">
        <v>15.575661181701228</v>
      </c>
      <c r="R86" s="40">
        <v>11.959751976486597</v>
      </c>
      <c r="S86" s="38">
        <v>0.47622110048767974</v>
      </c>
      <c r="T86" s="40">
        <v>9.538202870603623</v>
      </c>
      <c r="U86" s="38">
        <v>0.37979829988480984</v>
      </c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</row>
    <row r="87" spans="1:52">
      <c r="A87" s="36">
        <v>46143</v>
      </c>
      <c r="B87" s="37">
        <v>2026</v>
      </c>
      <c r="C87" s="37" t="s">
        <v>43</v>
      </c>
      <c r="D87" s="37" t="s">
        <v>41</v>
      </c>
      <c r="E87" s="37">
        <v>180</v>
      </c>
      <c r="F87" s="37">
        <v>142</v>
      </c>
      <c r="G87" s="38">
        <v>0.76829172781556032</v>
      </c>
      <c r="H87" s="39">
        <v>2054.0519999999997</v>
      </c>
      <c r="I87" s="40">
        <v>35.854685557540321</v>
      </c>
      <c r="J87" s="40">
        <v>18.316800000000001</v>
      </c>
      <c r="K87" s="40">
        <v>2.7608107879306045</v>
      </c>
      <c r="L87" s="40">
        <v>1.512</v>
      </c>
      <c r="M87" s="40">
        <v>0.99</v>
      </c>
      <c r="N87" s="40">
        <v>0.43025622669048386</v>
      </c>
      <c r="O87" s="40">
        <v>0.28683748446032259</v>
      </c>
      <c r="P87" s="40">
        <v>0.57367496892064518</v>
      </c>
      <c r="Q87" s="40">
        <v>24.870379468002056</v>
      </c>
      <c r="R87" s="40">
        <v>14.777074769609715</v>
      </c>
      <c r="S87" s="38">
        <v>0.41213789884993324</v>
      </c>
      <c r="T87" s="40">
        <v>10.984306089538265</v>
      </c>
      <c r="U87" s="38">
        <v>0.3063562242628074</v>
      </c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</row>
    <row r="88" spans="1:52">
      <c r="A88" s="36">
        <v>46143</v>
      </c>
      <c r="B88" s="37">
        <v>2026</v>
      </c>
      <c r="C88" s="37" t="s">
        <v>43</v>
      </c>
      <c r="D88" s="37" t="s">
        <v>42</v>
      </c>
      <c r="E88" s="37">
        <v>156</v>
      </c>
      <c r="F88" s="37">
        <v>120</v>
      </c>
      <c r="G88" s="38">
        <v>0.73806944355229898</v>
      </c>
      <c r="H88" s="39">
        <v>1896.0479999999998</v>
      </c>
      <c r="I88" s="40">
        <v>26.868769772322228</v>
      </c>
      <c r="J88" s="40">
        <v>15.213120000000002</v>
      </c>
      <c r="K88" s="40">
        <v>2.1763703515581003</v>
      </c>
      <c r="L88" s="40">
        <v>1.1466000000000001</v>
      </c>
      <c r="M88" s="40">
        <v>0.85799999999999998</v>
      </c>
      <c r="N88" s="40">
        <v>0.32242523726786676</v>
      </c>
      <c r="O88" s="40">
        <v>0.21495015817857782</v>
      </c>
      <c r="P88" s="40">
        <v>0.42990031635715564</v>
      </c>
      <c r="Q88" s="40">
        <v>20.361366063361704</v>
      </c>
      <c r="R88" s="40">
        <v>9.4792794207641258</v>
      </c>
      <c r="S88" s="38">
        <v>0.35279916055288918</v>
      </c>
      <c r="T88" s="40">
        <v>6.5074037089605241</v>
      </c>
      <c r="U88" s="38">
        <v>0.24219209752073806</v>
      </c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</row>
    <row r="89" spans="1:52">
      <c r="A89" s="36">
        <v>46174</v>
      </c>
      <c r="B89" s="37">
        <v>2026</v>
      </c>
      <c r="C89" s="37" t="s">
        <v>43</v>
      </c>
      <c r="D89" s="37" t="s">
        <v>38</v>
      </c>
      <c r="E89" s="37">
        <v>134</v>
      </c>
      <c r="F89" s="37">
        <v>110</v>
      </c>
      <c r="G89" s="38">
        <v>0.78146183733915064</v>
      </c>
      <c r="H89" s="39">
        <v>2163.6725000000001</v>
      </c>
      <c r="I89" s="40">
        <v>29.758563775603406</v>
      </c>
      <c r="J89" s="40">
        <v>14.914199999999999</v>
      </c>
      <c r="K89" s="40">
        <v>1.9343066454142215</v>
      </c>
      <c r="L89" s="40">
        <v>1.2663</v>
      </c>
      <c r="M89" s="40">
        <v>0.73699999999999999</v>
      </c>
      <c r="N89" s="40">
        <v>0.35710276530724089</v>
      </c>
      <c r="O89" s="40">
        <v>0.23806851020482725</v>
      </c>
      <c r="P89" s="40">
        <v>0.4761370204096545</v>
      </c>
      <c r="Q89" s="40">
        <v>19.923114941335943</v>
      </c>
      <c r="R89" s="40">
        <v>12.910057130189184</v>
      </c>
      <c r="S89" s="38">
        <v>0.433826619709822</v>
      </c>
      <c r="T89" s="40">
        <v>9.8354488342674635</v>
      </c>
      <c r="U89" s="38">
        <v>0.33050818273463645</v>
      </c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</row>
    <row r="90" spans="1:52">
      <c r="A90" s="36">
        <v>46174</v>
      </c>
      <c r="B90" s="37">
        <v>2026</v>
      </c>
      <c r="C90" s="37" t="s">
        <v>43</v>
      </c>
      <c r="D90" s="37" t="s">
        <v>39</v>
      </c>
      <c r="E90" s="37">
        <v>117</v>
      </c>
      <c r="F90" s="37">
        <v>97</v>
      </c>
      <c r="G90" s="38">
        <v>0.80375519525013162</v>
      </c>
      <c r="H90" s="39">
        <v>2321.9900000000002</v>
      </c>
      <c r="I90" s="40">
        <v>28.965154880708607</v>
      </c>
      <c r="J90" s="40">
        <v>13.642200000000001</v>
      </c>
      <c r="K90" s="40">
        <v>1.9985956867688941</v>
      </c>
      <c r="L90" s="40">
        <v>1.2284999999999999</v>
      </c>
      <c r="M90" s="40">
        <v>0.64349999999999996</v>
      </c>
      <c r="N90" s="40">
        <v>0.34758185856850327</v>
      </c>
      <c r="O90" s="40">
        <v>0.23172123904566885</v>
      </c>
      <c r="P90" s="40">
        <v>0.46344247809133771</v>
      </c>
      <c r="Q90" s="40">
        <v>18.555541262474403</v>
      </c>
      <c r="R90" s="40">
        <v>13.324359193939712</v>
      </c>
      <c r="S90" s="38">
        <v>0.46001339363850635</v>
      </c>
      <c r="T90" s="40">
        <v>10.409613618234204</v>
      </c>
      <c r="U90" s="38">
        <v>0.35938401369181777</v>
      </c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</row>
    <row r="91" spans="1:52">
      <c r="A91" s="36">
        <v>46174</v>
      </c>
      <c r="B91" s="37">
        <v>2026</v>
      </c>
      <c r="C91" s="37" t="s">
        <v>43</v>
      </c>
      <c r="D91" s="37" t="s">
        <v>40</v>
      </c>
      <c r="E91" s="37">
        <v>90</v>
      </c>
      <c r="F91" s="37">
        <v>76</v>
      </c>
      <c r="G91" s="38">
        <v>0.83144275158602077</v>
      </c>
      <c r="H91" s="39">
        <v>2533.08</v>
      </c>
      <c r="I91" s="40">
        <v>25.610309823080211</v>
      </c>
      <c r="J91" s="40">
        <v>11.448</v>
      </c>
      <c r="K91" s="40">
        <v>1.8695526170848555</v>
      </c>
      <c r="L91" s="40">
        <v>1.0395000000000001</v>
      </c>
      <c r="M91" s="40">
        <v>0.495</v>
      </c>
      <c r="N91" s="40">
        <v>0.30732371787696255</v>
      </c>
      <c r="O91" s="40">
        <v>0.2048824785846417</v>
      </c>
      <c r="P91" s="40">
        <v>0.40976495716928341</v>
      </c>
      <c r="Q91" s="40">
        <v>15.774023770715742</v>
      </c>
      <c r="R91" s="40">
        <v>12.292757205995356</v>
      </c>
      <c r="S91" s="38">
        <v>0.4799925221879599</v>
      </c>
      <c r="T91" s="40">
        <v>9.8362860523644695</v>
      </c>
      <c r="U91" s="38">
        <v>0.38407524627054418</v>
      </c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</row>
    <row r="92" spans="1:52">
      <c r="A92" s="36">
        <v>46174</v>
      </c>
      <c r="B92" s="37">
        <v>2026</v>
      </c>
      <c r="C92" s="37" t="s">
        <v>43</v>
      </c>
      <c r="D92" s="37" t="s">
        <v>41</v>
      </c>
      <c r="E92" s="37">
        <v>181</v>
      </c>
      <c r="F92" s="37">
        <v>143</v>
      </c>
      <c r="G92" s="38">
        <v>0.75878930081920215</v>
      </c>
      <c r="H92" s="39">
        <v>2058.1274999999996</v>
      </c>
      <c r="I92" s="40">
        <v>35.73135569939415</v>
      </c>
      <c r="J92" s="40">
        <v>18.418559999999999</v>
      </c>
      <c r="K92" s="40">
        <v>2.7513143888533493</v>
      </c>
      <c r="L92" s="40">
        <v>1.5204</v>
      </c>
      <c r="M92" s="40">
        <v>0.99549999999999994</v>
      </c>
      <c r="N92" s="40">
        <v>0.42877626839272981</v>
      </c>
      <c r="O92" s="40">
        <v>0.28585084559515322</v>
      </c>
      <c r="P92" s="40">
        <v>0.57170169119030645</v>
      </c>
      <c r="Q92" s="40">
        <v>24.972103194031536</v>
      </c>
      <c r="R92" s="40">
        <v>14.561481310540803</v>
      </c>
      <c r="S92" s="38">
        <v>0.40752669540573022</v>
      </c>
      <c r="T92" s="40">
        <v>10.759252505362614</v>
      </c>
      <c r="U92" s="38">
        <v>0.30111514927895794</v>
      </c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</row>
    <row r="93" spans="1:52">
      <c r="A93" s="36">
        <v>46174</v>
      </c>
      <c r="B93" s="37">
        <v>2026</v>
      </c>
      <c r="C93" s="37" t="s">
        <v>43</v>
      </c>
      <c r="D93" s="37" t="s">
        <v>42</v>
      </c>
      <c r="E93" s="37">
        <v>158</v>
      </c>
      <c r="F93" s="37">
        <v>122</v>
      </c>
      <c r="G93" s="38">
        <v>0.74468699841518926</v>
      </c>
      <c r="H93" s="39">
        <v>1899.8099999999997</v>
      </c>
      <c r="I93" s="40">
        <v>27.616189502082815</v>
      </c>
      <c r="J93" s="40">
        <v>15.408160000000002</v>
      </c>
      <c r="K93" s="40">
        <v>2.2369113496687079</v>
      </c>
      <c r="L93" s="40">
        <v>1.1613000000000002</v>
      </c>
      <c r="M93" s="40">
        <v>0.86899999999999999</v>
      </c>
      <c r="N93" s="40">
        <v>0.33139427402499377</v>
      </c>
      <c r="O93" s="40">
        <v>0.22092951601666252</v>
      </c>
      <c r="P93" s="40">
        <v>0.44185903203332505</v>
      </c>
      <c r="Q93" s="40">
        <v>20.669554171743695</v>
      </c>
      <c r="R93" s="40">
        <v>9.9711181524141033</v>
      </c>
      <c r="S93" s="38">
        <v>0.36106060728117761</v>
      </c>
      <c r="T93" s="40">
        <v>6.9466353303391202</v>
      </c>
      <c r="U93" s="38">
        <v>0.2515421372602909</v>
      </c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>
      <c r="A94" s="36">
        <v>46204</v>
      </c>
      <c r="B94" s="37">
        <v>2026</v>
      </c>
      <c r="C94" s="37" t="s">
        <v>44</v>
      </c>
      <c r="D94" s="37" t="s">
        <v>38</v>
      </c>
      <c r="E94" s="37">
        <v>135</v>
      </c>
      <c r="F94" s="37">
        <v>111</v>
      </c>
      <c r="G94" s="38">
        <v>0.78779103854630461</v>
      </c>
      <c r="H94" s="39">
        <v>2167.9569999999999</v>
      </c>
      <c r="I94" s="40">
        <v>30.33225243479426</v>
      </c>
      <c r="J94" s="40">
        <v>15.025499999999999</v>
      </c>
      <c r="K94" s="40">
        <v>1.9715964082616269</v>
      </c>
      <c r="L94" s="40">
        <v>1.2757499999999999</v>
      </c>
      <c r="M94" s="40">
        <v>0.74249999999999994</v>
      </c>
      <c r="N94" s="40">
        <v>0.36398702921753112</v>
      </c>
      <c r="O94" s="40">
        <v>0.24265801947835408</v>
      </c>
      <c r="P94" s="40">
        <v>0.48531603895670816</v>
      </c>
      <c r="Q94" s="40">
        <v>20.107307495914217</v>
      </c>
      <c r="R94" s="40">
        <v>13.335156026532633</v>
      </c>
      <c r="S94" s="38">
        <v>0.43963619435119222</v>
      </c>
      <c r="T94" s="40">
        <v>10.224944938880043</v>
      </c>
      <c r="U94" s="38">
        <v>0.33709810904616383</v>
      </c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</row>
    <row r="95" spans="1:52">
      <c r="A95" s="36">
        <v>46204</v>
      </c>
      <c r="B95" s="37">
        <v>2026</v>
      </c>
      <c r="C95" s="37" t="s">
        <v>44</v>
      </c>
      <c r="D95" s="37" t="s">
        <v>39</v>
      </c>
      <c r="E95" s="37">
        <v>118</v>
      </c>
      <c r="F95" s="37">
        <v>98</v>
      </c>
      <c r="G95" s="38">
        <v>0.81313414122306427</v>
      </c>
      <c r="H95" s="39">
        <v>2326.5880000000002</v>
      </c>
      <c r="I95" s="40">
        <v>29.663865162443024</v>
      </c>
      <c r="J95" s="40">
        <v>13.758800000000001</v>
      </c>
      <c r="K95" s="40">
        <v>2.0468066962085687</v>
      </c>
      <c r="L95" s="40">
        <v>1.2389999999999999</v>
      </c>
      <c r="M95" s="40">
        <v>0.64899999999999991</v>
      </c>
      <c r="N95" s="40">
        <v>0.35596638194931629</v>
      </c>
      <c r="O95" s="40">
        <v>0.2373109212995442</v>
      </c>
      <c r="P95" s="40">
        <v>0.47462184259908841</v>
      </c>
      <c r="Q95" s="40">
        <v>18.761505842056518</v>
      </c>
      <c r="R95" s="40">
        <v>13.858258466234455</v>
      </c>
      <c r="S95" s="38">
        <v>0.46717642459419578</v>
      </c>
      <c r="T95" s="40">
        <v>10.902359320386505</v>
      </c>
      <c r="U95" s="38">
        <v>0.36752996484725864</v>
      </c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>
      <c r="A96" s="36">
        <v>46204</v>
      </c>
      <c r="B96" s="37">
        <v>2026</v>
      </c>
      <c r="C96" s="37" t="s">
        <v>44</v>
      </c>
      <c r="D96" s="37" t="s">
        <v>40</v>
      </c>
      <c r="E96" s="37">
        <v>91</v>
      </c>
      <c r="F96" s="37">
        <v>77</v>
      </c>
      <c r="G96" s="38">
        <v>0.83210847740537197</v>
      </c>
      <c r="H96" s="39">
        <v>2538.096</v>
      </c>
      <c r="I96" s="40">
        <v>26.019485160205953</v>
      </c>
      <c r="J96" s="40">
        <v>11.575200000000001</v>
      </c>
      <c r="K96" s="40">
        <v>1.8994224166950349</v>
      </c>
      <c r="L96" s="40">
        <v>1.05105</v>
      </c>
      <c r="M96" s="40">
        <v>0.50049999999999994</v>
      </c>
      <c r="N96" s="40">
        <v>0.31223382192247146</v>
      </c>
      <c r="O96" s="40">
        <v>0.20815588128164764</v>
      </c>
      <c r="P96" s="40">
        <v>0.41631176256329527</v>
      </c>
      <c r="Q96" s="40">
        <v>15.962873882462452</v>
      </c>
      <c r="R96" s="40">
        <v>12.544862743510917</v>
      </c>
      <c r="S96" s="38">
        <v>0.48213339604032429</v>
      </c>
      <c r="T96" s="40">
        <v>10.056611277743501</v>
      </c>
      <c r="U96" s="38">
        <v>0.38650308473912554</v>
      </c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>
      <c r="A97" s="36">
        <v>46204</v>
      </c>
      <c r="B97" s="37">
        <v>2026</v>
      </c>
      <c r="C97" s="37" t="s">
        <v>44</v>
      </c>
      <c r="D97" s="37" t="s">
        <v>41</v>
      </c>
      <c r="E97" s="37">
        <v>183</v>
      </c>
      <c r="F97" s="37">
        <v>145</v>
      </c>
      <c r="G97" s="38">
        <v>0.77282375151517624</v>
      </c>
      <c r="H97" s="39">
        <v>2062.203</v>
      </c>
      <c r="I97" s="40">
        <v>36.974291445223741</v>
      </c>
      <c r="J97" s="40">
        <v>18.62208</v>
      </c>
      <c r="K97" s="40">
        <v>2.8470204412822282</v>
      </c>
      <c r="L97" s="40">
        <v>1.5372000000000001</v>
      </c>
      <c r="M97" s="40">
        <v>1.0065</v>
      </c>
      <c r="N97" s="40">
        <v>0.44369149734268493</v>
      </c>
      <c r="O97" s="40">
        <v>0.29579433156178991</v>
      </c>
      <c r="P97" s="40">
        <v>0.59158866312357983</v>
      </c>
      <c r="Q97" s="40">
        <v>25.343874933310282</v>
      </c>
      <c r="R97" s="40">
        <v>15.505191003941512</v>
      </c>
      <c r="S97" s="38">
        <v>0.41935059193526314</v>
      </c>
      <c r="T97" s="40">
        <v>11.630416511913459</v>
      </c>
      <c r="U97" s="38">
        <v>0.31455414173774116</v>
      </c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>
      <c r="A98" s="36">
        <v>46204</v>
      </c>
      <c r="B98" s="37">
        <v>2026</v>
      </c>
      <c r="C98" s="37" t="s">
        <v>44</v>
      </c>
      <c r="D98" s="37" t="s">
        <v>42</v>
      </c>
      <c r="E98" s="37">
        <v>159</v>
      </c>
      <c r="F98" s="37">
        <v>122</v>
      </c>
      <c r="G98" s="38">
        <v>0.74345473703222231</v>
      </c>
      <c r="H98" s="39">
        <v>1903.5719999999999</v>
      </c>
      <c r="I98" s="40">
        <v>27.625086995710717</v>
      </c>
      <c r="J98" s="40">
        <v>15.505680000000002</v>
      </c>
      <c r="K98" s="40">
        <v>2.2376320466525681</v>
      </c>
      <c r="L98" s="40">
        <v>1.16865</v>
      </c>
      <c r="M98" s="40">
        <v>0.87449999999999994</v>
      </c>
      <c r="N98" s="40">
        <v>0.33150104394852858</v>
      </c>
      <c r="O98" s="40">
        <v>0.22100069596568575</v>
      </c>
      <c r="P98" s="40">
        <v>0.4420013919313715</v>
      </c>
      <c r="Q98" s="40">
        <v>20.780965178498153</v>
      </c>
      <c r="R98" s="40">
        <v>9.8817749490581477</v>
      </c>
      <c r="S98" s="38">
        <v>0.35771018388439713</v>
      </c>
      <c r="T98" s="40">
        <v>6.8441218172125637</v>
      </c>
      <c r="U98" s="38">
        <v>0.24775023580107583</v>
      </c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>
      <c r="A99" s="36">
        <v>46235</v>
      </c>
      <c r="B99" s="37">
        <v>2026</v>
      </c>
      <c r="C99" s="37" t="s">
        <v>44</v>
      </c>
      <c r="D99" s="37" t="s">
        <v>38</v>
      </c>
      <c r="E99" s="37">
        <v>136</v>
      </c>
      <c r="F99" s="37">
        <v>112</v>
      </c>
      <c r="G99" s="38">
        <v>0.78714474427538716</v>
      </c>
      <c r="H99" s="39">
        <v>2172.2415000000001</v>
      </c>
      <c r="I99" s="40">
        <v>30.640843161992155</v>
      </c>
      <c r="J99" s="40">
        <v>15.136799999999999</v>
      </c>
      <c r="K99" s="40">
        <v>1.9916548055294903</v>
      </c>
      <c r="L99" s="40">
        <v>1.2852000000000001</v>
      </c>
      <c r="M99" s="40">
        <v>0.748</v>
      </c>
      <c r="N99" s="40">
        <v>0.36769011794390588</v>
      </c>
      <c r="O99" s="40">
        <v>0.24512674529593725</v>
      </c>
      <c r="P99" s="40">
        <v>0.49025349059187451</v>
      </c>
      <c r="Q99" s="40">
        <v>20.264725159361209</v>
      </c>
      <c r="R99" s="40">
        <v>13.512388356462665</v>
      </c>
      <c r="S99" s="38">
        <v>0.44099270653308414</v>
      </c>
      <c r="T99" s="40">
        <v>10.376118002630946</v>
      </c>
      <c r="U99" s="38">
        <v>0.33863683018689911</v>
      </c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>
      <c r="A100" s="36">
        <v>46235</v>
      </c>
      <c r="B100" s="37">
        <v>2026</v>
      </c>
      <c r="C100" s="37" t="s">
        <v>44</v>
      </c>
      <c r="D100" s="37" t="s">
        <v>39</v>
      </c>
      <c r="E100" s="37">
        <v>118</v>
      </c>
      <c r="F100" s="37">
        <v>98</v>
      </c>
      <c r="G100" s="38">
        <v>0.80624033864530598</v>
      </c>
      <c r="H100" s="39">
        <v>2331.1860000000001</v>
      </c>
      <c r="I100" s="40">
        <v>29.470500260535882</v>
      </c>
      <c r="J100" s="40">
        <v>13.758800000000001</v>
      </c>
      <c r="K100" s="40">
        <v>2.0334645179769759</v>
      </c>
      <c r="L100" s="40">
        <v>1.2389999999999999</v>
      </c>
      <c r="M100" s="40">
        <v>0.64899999999999991</v>
      </c>
      <c r="N100" s="40">
        <v>0.35364600312643057</v>
      </c>
      <c r="O100" s="40">
        <v>0.23576400208428705</v>
      </c>
      <c r="P100" s="40">
        <v>0.4715280041685741</v>
      </c>
      <c r="Q100" s="40">
        <v>18.741202527356272</v>
      </c>
      <c r="R100" s="40">
        <v>13.678235742558906</v>
      </c>
      <c r="S100" s="38">
        <v>0.46413313726050015</v>
      </c>
      <c r="T100" s="40">
        <v>10.72929773317961</v>
      </c>
      <c r="U100" s="38">
        <v>0.36406907376279851</v>
      </c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>
      <c r="A101" s="36">
        <v>46235</v>
      </c>
      <c r="B101" s="37">
        <v>2026</v>
      </c>
      <c r="C101" s="37" t="s">
        <v>44</v>
      </c>
      <c r="D101" s="37" t="s">
        <v>40</v>
      </c>
      <c r="E101" s="37">
        <v>92</v>
      </c>
      <c r="F101" s="37">
        <v>78</v>
      </c>
      <c r="G101" s="38">
        <v>0.8346470852351715</v>
      </c>
      <c r="H101" s="39">
        <v>2543.1120000000001</v>
      </c>
      <c r="I101" s="40">
        <v>26.490060707467812</v>
      </c>
      <c r="J101" s="40">
        <v>11.702400000000001</v>
      </c>
      <c r="K101" s="40">
        <v>1.9337744316451506</v>
      </c>
      <c r="L101" s="40">
        <v>1.0626</v>
      </c>
      <c r="M101" s="40">
        <v>0.50600000000000001</v>
      </c>
      <c r="N101" s="40">
        <v>0.31788072848961374</v>
      </c>
      <c r="O101" s="40">
        <v>0.2119204856597425</v>
      </c>
      <c r="P101" s="40">
        <v>0.423840971319485</v>
      </c>
      <c r="Q101" s="40">
        <v>16.158416617113993</v>
      </c>
      <c r="R101" s="40">
        <v>12.85388627582266</v>
      </c>
      <c r="S101" s="38">
        <v>0.48523430798325884</v>
      </c>
      <c r="T101" s="40">
        <v>10.331644090353819</v>
      </c>
      <c r="U101" s="38">
        <v>0.3900196456492539</v>
      </c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>
      <c r="A102" s="36">
        <v>46235</v>
      </c>
      <c r="B102" s="37">
        <v>2026</v>
      </c>
      <c r="C102" s="37" t="s">
        <v>44</v>
      </c>
      <c r="D102" s="37" t="s">
        <v>41</v>
      </c>
      <c r="E102" s="37">
        <v>184</v>
      </c>
      <c r="F102" s="37">
        <v>145</v>
      </c>
      <c r="G102" s="38">
        <v>0.77582369926342387</v>
      </c>
      <c r="H102" s="39">
        <v>2066.2784999999999</v>
      </c>
      <c r="I102" s="40">
        <v>37.191173646220697</v>
      </c>
      <c r="J102" s="40">
        <v>18.723839999999999</v>
      </c>
      <c r="K102" s="40">
        <v>2.8637203707589935</v>
      </c>
      <c r="L102" s="40">
        <v>1.5456000000000001</v>
      </c>
      <c r="M102" s="40">
        <v>1.012</v>
      </c>
      <c r="N102" s="40">
        <v>0.44629408375464835</v>
      </c>
      <c r="O102" s="40">
        <v>0.29752938916976557</v>
      </c>
      <c r="P102" s="40">
        <v>0.59505877833953114</v>
      </c>
      <c r="Q102" s="40">
        <v>25.484042622022937</v>
      </c>
      <c r="R102" s="40">
        <v>15.603613275461704</v>
      </c>
      <c r="S102" s="38">
        <v>0.41955151574108274</v>
      </c>
      <c r="T102" s="40">
        <v>11.707131024197761</v>
      </c>
      <c r="U102" s="38">
        <v>0.31478251091404907</v>
      </c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>
      <c r="A103" s="36">
        <v>46235</v>
      </c>
      <c r="B103" s="37">
        <v>2026</v>
      </c>
      <c r="C103" s="37" t="s">
        <v>44</v>
      </c>
      <c r="D103" s="37" t="s">
        <v>42</v>
      </c>
      <c r="E103" s="37">
        <v>161</v>
      </c>
      <c r="F103" s="37">
        <v>124</v>
      </c>
      <c r="G103" s="38">
        <v>0.74291473449265766</v>
      </c>
      <c r="H103" s="39">
        <v>1907.3339999999998</v>
      </c>
      <c r="I103" s="40">
        <v>28.11301279882456</v>
      </c>
      <c r="J103" s="40">
        <v>15.700720000000002</v>
      </c>
      <c r="K103" s="40">
        <v>2.2771540367047893</v>
      </c>
      <c r="L103" s="40">
        <v>1.1833500000000001</v>
      </c>
      <c r="M103" s="40">
        <v>0.88549999999999995</v>
      </c>
      <c r="N103" s="40">
        <v>0.33735615358589471</v>
      </c>
      <c r="O103" s="40">
        <v>0.22490410239059649</v>
      </c>
      <c r="P103" s="40">
        <v>0.44980820478119299</v>
      </c>
      <c r="Q103" s="40">
        <v>21.058792497462473</v>
      </c>
      <c r="R103" s="40">
        <v>10.135138762119769</v>
      </c>
      <c r="S103" s="38">
        <v>0.36051414462926334</v>
      </c>
      <c r="T103" s="40">
        <v>7.0542203013620863</v>
      </c>
      <c r="U103" s="38">
        <v>0.25092366840373054</v>
      </c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>
      <c r="A104" s="36">
        <v>46266</v>
      </c>
      <c r="B104" s="37">
        <v>2026</v>
      </c>
      <c r="C104" s="37" t="s">
        <v>44</v>
      </c>
      <c r="D104" s="37" t="s">
        <v>38</v>
      </c>
      <c r="E104" s="37">
        <v>137</v>
      </c>
      <c r="F104" s="37">
        <v>112</v>
      </c>
      <c r="G104" s="38">
        <v>0.79981948365584599</v>
      </c>
      <c r="H104" s="39">
        <v>2176.5259999999998</v>
      </c>
      <c r="I104" s="40">
        <v>31.195635994584745</v>
      </c>
      <c r="J104" s="40">
        <v>15.248099999999999</v>
      </c>
      <c r="K104" s="40">
        <v>2.0277163396480087</v>
      </c>
      <c r="L104" s="40">
        <v>1.2946499999999999</v>
      </c>
      <c r="M104" s="40">
        <v>0.75349999999999995</v>
      </c>
      <c r="N104" s="40">
        <v>0.46793453991877115</v>
      </c>
      <c r="O104" s="40">
        <v>0.24956508795667795</v>
      </c>
      <c r="P104" s="40">
        <v>0.4991301759133559</v>
      </c>
      <c r="Q104" s="40">
        <v>20.540596143436812</v>
      </c>
      <c r="R104" s="40">
        <v>13.919819654936738</v>
      </c>
      <c r="S104" s="38">
        <v>0.44621047820128051</v>
      </c>
      <c r="T104" s="40">
        <v>10.655039851147933</v>
      </c>
      <c r="U104" s="38">
        <v>0.34155546157153338</v>
      </c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>
      <c r="A105" s="36">
        <v>46266</v>
      </c>
      <c r="B105" s="37">
        <v>2026</v>
      </c>
      <c r="C105" s="37" t="s">
        <v>44</v>
      </c>
      <c r="D105" s="37" t="s">
        <v>39</v>
      </c>
      <c r="E105" s="37">
        <v>119</v>
      </c>
      <c r="F105" s="37">
        <v>99</v>
      </c>
      <c r="G105" s="38">
        <v>0.82071130986911267</v>
      </c>
      <c r="H105" s="39">
        <v>2335.7840000000001</v>
      </c>
      <c r="I105" s="40">
        <v>30.365348843987238</v>
      </c>
      <c r="J105" s="40">
        <v>13.875400000000001</v>
      </c>
      <c r="K105" s="40">
        <v>2.0952090702351196</v>
      </c>
      <c r="L105" s="40">
        <v>1.2495000000000001</v>
      </c>
      <c r="M105" s="40">
        <v>0.65449999999999997</v>
      </c>
      <c r="N105" s="40">
        <v>0.45548023265980858</v>
      </c>
      <c r="O105" s="40">
        <v>0.2429227907518979</v>
      </c>
      <c r="P105" s="40">
        <v>0.48584558150379581</v>
      </c>
      <c r="Q105" s="40">
        <v>19.058857675150623</v>
      </c>
      <c r="R105" s="40">
        <v>14.394739773752118</v>
      </c>
      <c r="S105" s="38">
        <v>0.47405151996475342</v>
      </c>
      <c r="T105" s="40">
        <v>11.306491168836615</v>
      </c>
      <c r="U105" s="38">
        <v>0.37234846953110035</v>
      </c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>
      <c r="A106" s="36">
        <v>46266</v>
      </c>
      <c r="B106" s="37">
        <v>2026</v>
      </c>
      <c r="C106" s="37" t="s">
        <v>44</v>
      </c>
      <c r="D106" s="37" t="s">
        <v>40</v>
      </c>
      <c r="E106" s="37">
        <v>93</v>
      </c>
      <c r="F106" s="37">
        <v>79</v>
      </c>
      <c r="G106" s="38">
        <v>0.84073337733889386</v>
      </c>
      <c r="H106" s="39">
        <v>2548.1280000000002</v>
      </c>
      <c r="I106" s="40">
        <v>27.078624717953964</v>
      </c>
      <c r="J106" s="40">
        <v>11.829600000000001</v>
      </c>
      <c r="K106" s="40">
        <v>1.9767396044106396</v>
      </c>
      <c r="L106" s="40">
        <v>1.0741499999999999</v>
      </c>
      <c r="M106" s="40">
        <v>0.51149999999999995</v>
      </c>
      <c r="N106" s="40">
        <v>0.40617937076930943</v>
      </c>
      <c r="O106" s="40">
        <v>0.21662899774363173</v>
      </c>
      <c r="P106" s="40">
        <v>0.43325799548726346</v>
      </c>
      <c r="Q106" s="40">
        <v>16.448055968410845</v>
      </c>
      <c r="R106" s="40">
        <v>13.272285113543324</v>
      </c>
      <c r="S106" s="38">
        <v>0.49013881804504605</v>
      </c>
      <c r="T106" s="40">
        <v>10.630568749543119</v>
      </c>
      <c r="U106" s="38">
        <v>0.39258156055815951</v>
      </c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>
      <c r="A107" s="36">
        <v>46266</v>
      </c>
      <c r="B107" s="37">
        <v>2026</v>
      </c>
      <c r="C107" s="37" t="s">
        <v>44</v>
      </c>
      <c r="D107" s="37" t="s">
        <v>41</v>
      </c>
      <c r="E107" s="37">
        <v>186</v>
      </c>
      <c r="F107" s="37">
        <v>147</v>
      </c>
      <c r="G107" s="38">
        <v>0.78475940368546171</v>
      </c>
      <c r="H107" s="39">
        <v>2070.3539999999998</v>
      </c>
      <c r="I107" s="40">
        <v>38.213644201167703</v>
      </c>
      <c r="J107" s="40">
        <v>18.92736</v>
      </c>
      <c r="K107" s="40">
        <v>2.9424506034899132</v>
      </c>
      <c r="L107" s="40">
        <v>1.5624</v>
      </c>
      <c r="M107" s="40">
        <v>1.0229999999999999</v>
      </c>
      <c r="N107" s="40">
        <v>0.57320466301751549</v>
      </c>
      <c r="O107" s="40">
        <v>0.30570915360934164</v>
      </c>
      <c r="P107" s="40">
        <v>0.61141830721868329</v>
      </c>
      <c r="Q107" s="40">
        <v>25.945542727335457</v>
      </c>
      <c r="R107" s="40">
        <v>16.34383359767779</v>
      </c>
      <c r="S107" s="38">
        <v>0.42769628333898518</v>
      </c>
      <c r="T107" s="40">
        <v>12.268101473832246</v>
      </c>
      <c r="U107" s="38">
        <v>0.32103982046960511</v>
      </c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>
      <c r="A108" s="36">
        <v>46266</v>
      </c>
      <c r="B108" s="37">
        <v>2026</v>
      </c>
      <c r="C108" s="37" t="s">
        <v>44</v>
      </c>
      <c r="D108" s="37" t="s">
        <v>42</v>
      </c>
      <c r="E108" s="37">
        <v>162</v>
      </c>
      <c r="F108" s="37">
        <v>125</v>
      </c>
      <c r="G108" s="38">
        <v>0.76642597605971607</v>
      </c>
      <c r="H108" s="39">
        <v>1911.0959999999998</v>
      </c>
      <c r="I108" s="40">
        <v>29.294272342876379</v>
      </c>
      <c r="J108" s="40">
        <v>15.798240000000002</v>
      </c>
      <c r="K108" s="40">
        <v>2.3728360597729869</v>
      </c>
      <c r="L108" s="40">
        <v>1.1907000000000001</v>
      </c>
      <c r="M108" s="40">
        <v>0.8909999999999999</v>
      </c>
      <c r="N108" s="40">
        <v>0.43941408514314567</v>
      </c>
      <c r="O108" s="40">
        <v>0.23435417874301104</v>
      </c>
      <c r="P108" s="40">
        <v>0.46870835748602208</v>
      </c>
      <c r="Q108" s="40">
        <v>21.395252681145166</v>
      </c>
      <c r="R108" s="40">
        <v>11.12319628310339</v>
      </c>
      <c r="S108" s="38">
        <v>0.37970549849852364</v>
      </c>
      <c r="T108" s="40">
        <v>7.8990196617312129</v>
      </c>
      <c r="U108" s="38">
        <v>0.26964382556687921</v>
      </c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>
      <c r="A109" s="36">
        <v>46296</v>
      </c>
      <c r="B109" s="37">
        <v>2026</v>
      </c>
      <c r="C109" s="37" t="s">
        <v>45</v>
      </c>
      <c r="D109" s="37" t="s">
        <v>38</v>
      </c>
      <c r="E109" s="37">
        <v>138</v>
      </c>
      <c r="F109" s="37">
        <v>113</v>
      </c>
      <c r="G109" s="38">
        <v>0.80270394590877658</v>
      </c>
      <c r="H109" s="39">
        <v>2180.8105</v>
      </c>
      <c r="I109" s="40">
        <v>31.649857100817602</v>
      </c>
      <c r="J109" s="40">
        <v>15.359399999999999</v>
      </c>
      <c r="K109" s="40">
        <v>2.0572407115531441</v>
      </c>
      <c r="L109" s="40">
        <v>1.3041</v>
      </c>
      <c r="M109" s="40">
        <v>0.75900000000000001</v>
      </c>
      <c r="N109" s="40">
        <v>0.47474785651226403</v>
      </c>
      <c r="O109" s="40">
        <v>0.25319885680654081</v>
      </c>
      <c r="P109" s="40">
        <v>0.50639771361308161</v>
      </c>
      <c r="Q109" s="40">
        <v>20.714085138485029</v>
      </c>
      <c r="R109" s="40">
        <v>14.233216389264459</v>
      </c>
      <c r="S109" s="38">
        <v>0.44970870939245966</v>
      </c>
      <c r="T109" s="40">
        <v>10.935771962332574</v>
      </c>
      <c r="U109" s="38">
        <v>0.3455235809595511</v>
      </c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>
      <c r="A110" s="36">
        <v>46296</v>
      </c>
      <c r="B110" s="37">
        <v>2026</v>
      </c>
      <c r="C110" s="37" t="s">
        <v>45</v>
      </c>
      <c r="D110" s="37" t="s">
        <v>39</v>
      </c>
      <c r="E110" s="37">
        <v>120</v>
      </c>
      <c r="F110" s="37">
        <v>100</v>
      </c>
      <c r="G110" s="38">
        <v>0.81856549765416109</v>
      </c>
      <c r="H110" s="39">
        <v>2340.3820000000001</v>
      </c>
      <c r="I110" s="40">
        <v>30.652095304493454</v>
      </c>
      <c r="J110" s="40">
        <v>13.992000000000001</v>
      </c>
      <c r="K110" s="40">
        <v>2.1149945760100484</v>
      </c>
      <c r="L110" s="40">
        <v>1.26</v>
      </c>
      <c r="M110" s="40">
        <v>0.65999999999999992</v>
      </c>
      <c r="N110" s="40">
        <v>0.45978142956740181</v>
      </c>
      <c r="O110" s="40">
        <v>0.24521676243594764</v>
      </c>
      <c r="P110" s="40">
        <v>0.49043352487189529</v>
      </c>
      <c r="Q110" s="40">
        <v>19.222426292885299</v>
      </c>
      <c r="R110" s="40">
        <v>14.545100728483405</v>
      </c>
      <c r="S110" s="38">
        <v>0.47452223360245005</v>
      </c>
      <c r="T110" s="40">
        <v>11.429669011608155</v>
      </c>
      <c r="U110" s="38">
        <v>0.37288377509163684</v>
      </c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>
      <c r="A111" s="36">
        <v>46296</v>
      </c>
      <c r="B111" s="37">
        <v>2026</v>
      </c>
      <c r="C111" s="37" t="s">
        <v>45</v>
      </c>
      <c r="D111" s="37" t="s">
        <v>40</v>
      </c>
      <c r="E111" s="37">
        <v>93</v>
      </c>
      <c r="F111" s="37">
        <v>79</v>
      </c>
      <c r="G111" s="38">
        <v>0.84520314401800523</v>
      </c>
      <c r="H111" s="39">
        <v>2553.1440000000002</v>
      </c>
      <c r="I111" s="40">
        <v>27.276176246164123</v>
      </c>
      <c r="J111" s="40">
        <v>11.829600000000001</v>
      </c>
      <c r="K111" s="40">
        <v>1.9911608659699813</v>
      </c>
      <c r="L111" s="40">
        <v>1.0741499999999999</v>
      </c>
      <c r="M111" s="40">
        <v>0.51149999999999995</v>
      </c>
      <c r="N111" s="40">
        <v>0.40914264369246184</v>
      </c>
      <c r="O111" s="40">
        <v>0.21820940996931298</v>
      </c>
      <c r="P111" s="40">
        <v>0.43641881993862597</v>
      </c>
      <c r="Q111" s="40">
        <v>16.470181739570382</v>
      </c>
      <c r="R111" s="40">
        <v>13.455415380194141</v>
      </c>
      <c r="S111" s="38">
        <v>0.49330284636529248</v>
      </c>
      <c r="T111" s="40">
        <v>10.805994506593741</v>
      </c>
      <c r="U111" s="38">
        <v>0.39616969802038876</v>
      </c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>
      <c r="A112" s="36">
        <v>46296</v>
      </c>
      <c r="B112" s="37">
        <v>2026</v>
      </c>
      <c r="C112" s="37" t="s">
        <v>45</v>
      </c>
      <c r="D112" s="37" t="s">
        <v>41</v>
      </c>
      <c r="E112" s="37">
        <v>187</v>
      </c>
      <c r="F112" s="37">
        <v>148</v>
      </c>
      <c r="G112" s="38">
        <v>0.78440805716631556</v>
      </c>
      <c r="H112" s="39">
        <v>2074.4294999999997</v>
      </c>
      <c r="I112" s="40">
        <v>38.532077383340273</v>
      </c>
      <c r="J112" s="40">
        <v>19.029119999999999</v>
      </c>
      <c r="K112" s="40">
        <v>2.9669699585172009</v>
      </c>
      <c r="L112" s="40">
        <v>1.5708</v>
      </c>
      <c r="M112" s="40">
        <v>1.0285</v>
      </c>
      <c r="N112" s="40">
        <v>0.57798116075010408</v>
      </c>
      <c r="O112" s="40">
        <v>0.30825661906672219</v>
      </c>
      <c r="P112" s="40">
        <v>0.61651323813344439</v>
      </c>
      <c r="Q112" s="40">
        <v>26.098140976467466</v>
      </c>
      <c r="R112" s="40">
        <v>16.535987424823073</v>
      </c>
      <c r="S112" s="38">
        <v>0.42914860936027738</v>
      </c>
      <c r="T112" s="40">
        <v>12.433936406872807</v>
      </c>
      <c r="U112" s="38">
        <v>0.32269052828822414</v>
      </c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>
      <c r="A113" s="36">
        <v>46296</v>
      </c>
      <c r="B113" s="37">
        <v>2026</v>
      </c>
      <c r="C113" s="37" t="s">
        <v>45</v>
      </c>
      <c r="D113" s="37" t="s">
        <v>42</v>
      </c>
      <c r="E113" s="37">
        <v>164</v>
      </c>
      <c r="F113" s="37">
        <v>126</v>
      </c>
      <c r="G113" s="38">
        <v>0.76756145957930222</v>
      </c>
      <c r="H113" s="39">
        <v>1914.8579999999997</v>
      </c>
      <c r="I113" s="40">
        <v>29.630587419560801</v>
      </c>
      <c r="J113" s="40">
        <v>15.993280000000002</v>
      </c>
      <c r="K113" s="40">
        <v>2.400077580984425</v>
      </c>
      <c r="L113" s="40">
        <v>1.2054000000000002</v>
      </c>
      <c r="M113" s="40">
        <v>0.90199999999999991</v>
      </c>
      <c r="N113" s="40">
        <v>0.44445881129341197</v>
      </c>
      <c r="O113" s="40">
        <v>0.23704469935648642</v>
      </c>
      <c r="P113" s="40">
        <v>0.47408939871297284</v>
      </c>
      <c r="Q113" s="40">
        <v>21.6563504903473</v>
      </c>
      <c r="R113" s="40">
        <v>11.237229838576372</v>
      </c>
      <c r="S113" s="38">
        <v>0.37924424782608429</v>
      </c>
      <c r="T113" s="40">
        <v>7.9742369292135002</v>
      </c>
      <c r="U113" s="38">
        <v>0.26912179688848364</v>
      </c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>
      <c r="A114" s="36">
        <v>46327</v>
      </c>
      <c r="B114" s="37">
        <v>2026</v>
      </c>
      <c r="C114" s="37" t="s">
        <v>45</v>
      </c>
      <c r="D114" s="37" t="s">
        <v>38</v>
      </c>
      <c r="E114" s="37">
        <v>138</v>
      </c>
      <c r="F114" s="37">
        <v>113</v>
      </c>
      <c r="G114" s="38">
        <v>0.80024956680840154</v>
      </c>
      <c r="H114" s="39">
        <v>2185.0950000000003</v>
      </c>
      <c r="I114" s="40">
        <v>31.615073595508498</v>
      </c>
      <c r="J114" s="40">
        <v>15.359399999999999</v>
      </c>
      <c r="K114" s="40">
        <v>2.0549797837080526</v>
      </c>
      <c r="L114" s="40">
        <v>1.3041</v>
      </c>
      <c r="M114" s="40">
        <v>0.75900000000000001</v>
      </c>
      <c r="N114" s="40">
        <v>0.37938088314610197</v>
      </c>
      <c r="O114" s="40">
        <v>0.25292058876406798</v>
      </c>
      <c r="P114" s="40">
        <v>0.50584117752813595</v>
      </c>
      <c r="Q114" s="40">
        <v>20.615622433146353</v>
      </c>
      <c r="R114" s="40">
        <v>14.200693811800448</v>
      </c>
      <c r="S114" s="38">
        <v>0.44917478268397637</v>
      </c>
      <c r="T114" s="40">
        <v>10.999451162362146</v>
      </c>
      <c r="U114" s="38">
        <v>0.3479179363329023</v>
      </c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>
      <c r="A115" s="36">
        <v>46327</v>
      </c>
      <c r="B115" s="37">
        <v>2026</v>
      </c>
      <c r="C115" s="37" t="s">
        <v>45</v>
      </c>
      <c r="D115" s="37" t="s">
        <v>39</v>
      </c>
      <c r="E115" s="37">
        <v>121</v>
      </c>
      <c r="F115" s="37">
        <v>100</v>
      </c>
      <c r="G115" s="38">
        <v>0.8160478985141757</v>
      </c>
      <c r="H115" s="39">
        <v>2344.98</v>
      </c>
      <c r="I115" s="40">
        <v>30.617856016924346</v>
      </c>
      <c r="J115" s="40">
        <v>14.108600000000001</v>
      </c>
      <c r="K115" s="40">
        <v>2.1126320651677801</v>
      </c>
      <c r="L115" s="40">
        <v>1.2705</v>
      </c>
      <c r="M115" s="40">
        <v>0.66549999999999998</v>
      </c>
      <c r="N115" s="40">
        <v>0.36741427220309214</v>
      </c>
      <c r="O115" s="40">
        <v>0.24494284813539477</v>
      </c>
      <c r="P115" s="40">
        <v>0.48988569627078954</v>
      </c>
      <c r="Q115" s="40">
        <v>19.259474881777059</v>
      </c>
      <c r="R115" s="40">
        <v>14.396623951756563</v>
      </c>
      <c r="S115" s="38">
        <v>0.47020352907135876</v>
      </c>
      <c r="T115" s="40">
        <v>11.358381135147287</v>
      </c>
      <c r="U115" s="38">
        <v>0.37097245244307181</v>
      </c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>
      <c r="A116" s="36">
        <v>46327</v>
      </c>
      <c r="B116" s="37">
        <v>2026</v>
      </c>
      <c r="C116" s="37" t="s">
        <v>45</v>
      </c>
      <c r="D116" s="37" t="s">
        <v>40</v>
      </c>
      <c r="E116" s="37">
        <v>94</v>
      </c>
      <c r="F116" s="37">
        <v>80</v>
      </c>
      <c r="G116" s="38">
        <v>0.83324786292913255</v>
      </c>
      <c r="H116" s="39">
        <v>2558.16</v>
      </c>
      <c r="I116" s="40">
        <v>27.284241318794109</v>
      </c>
      <c r="J116" s="40">
        <v>11.956800000000001</v>
      </c>
      <c r="K116" s="40">
        <v>1.9917496162719701</v>
      </c>
      <c r="L116" s="40">
        <v>1.0857000000000001</v>
      </c>
      <c r="M116" s="40">
        <v>0.51700000000000002</v>
      </c>
      <c r="N116" s="40">
        <v>0.32741089582552929</v>
      </c>
      <c r="O116" s="40">
        <v>0.21827393055035288</v>
      </c>
      <c r="P116" s="40">
        <v>0.43654786110070576</v>
      </c>
      <c r="Q116" s="40">
        <v>16.53348230374856</v>
      </c>
      <c r="R116" s="40">
        <v>13.335691702522137</v>
      </c>
      <c r="S116" s="38">
        <v>0.48876901309827364</v>
      </c>
      <c r="T116" s="40">
        <v>10.750759015045549</v>
      </c>
      <c r="U116" s="38">
        <v>0.39402814575020423</v>
      </c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>
      <c r="A117" s="36">
        <v>46327</v>
      </c>
      <c r="B117" s="37">
        <v>2026</v>
      </c>
      <c r="C117" s="37" t="s">
        <v>45</v>
      </c>
      <c r="D117" s="37" t="s">
        <v>41</v>
      </c>
      <c r="E117" s="37">
        <v>189</v>
      </c>
      <c r="F117" s="37">
        <v>149</v>
      </c>
      <c r="G117" s="38">
        <v>0.77488148399054602</v>
      </c>
      <c r="H117" s="39">
        <v>2078.5049999999997</v>
      </c>
      <c r="I117" s="40">
        <v>38.396585726941382</v>
      </c>
      <c r="J117" s="40">
        <v>19.23264</v>
      </c>
      <c r="K117" s="40">
        <v>2.9565371009744865</v>
      </c>
      <c r="L117" s="40">
        <v>1.5876000000000001</v>
      </c>
      <c r="M117" s="40">
        <v>1.0394999999999999</v>
      </c>
      <c r="N117" s="40">
        <v>0.4607590287232966</v>
      </c>
      <c r="O117" s="40">
        <v>0.30717268581553103</v>
      </c>
      <c r="P117" s="40">
        <v>0.61434537163106206</v>
      </c>
      <c r="Q117" s="40">
        <v>26.198554187144374</v>
      </c>
      <c r="R117" s="40">
        <v>16.207408625966895</v>
      </c>
      <c r="S117" s="38">
        <v>0.42210546378332775</v>
      </c>
      <c r="T117" s="40">
        <v>12.198031539797007</v>
      </c>
      <c r="U117" s="38">
        <v>0.3176853178181967</v>
      </c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>
      <c r="A118" s="36">
        <v>46327</v>
      </c>
      <c r="B118" s="37">
        <v>2026</v>
      </c>
      <c r="C118" s="37" t="s">
        <v>45</v>
      </c>
      <c r="D118" s="37" t="s">
        <v>42</v>
      </c>
      <c r="E118" s="37">
        <v>166</v>
      </c>
      <c r="F118" s="37">
        <v>128</v>
      </c>
      <c r="G118" s="38">
        <v>0.755819201319192</v>
      </c>
      <c r="H118" s="39">
        <v>1918.62</v>
      </c>
      <c r="I118" s="40">
        <v>29.698659041997377</v>
      </c>
      <c r="J118" s="40">
        <v>16.188320000000001</v>
      </c>
      <c r="K118" s="40">
        <v>2.4055913824017878</v>
      </c>
      <c r="L118" s="40">
        <v>1.2201</v>
      </c>
      <c r="M118" s="40">
        <v>0.91299999999999992</v>
      </c>
      <c r="N118" s="40">
        <v>0.35638390850396856</v>
      </c>
      <c r="O118" s="40">
        <v>0.23758927233597901</v>
      </c>
      <c r="P118" s="40">
        <v>0.47517854467195803</v>
      </c>
      <c r="Q118" s="40">
        <v>21.796163107913692</v>
      </c>
      <c r="R118" s="40">
        <v>11.104747659595589</v>
      </c>
      <c r="S118" s="38">
        <v>0.37391410985567319</v>
      </c>
      <c r="T118" s="40">
        <v>7.9024959340836851</v>
      </c>
      <c r="U118" s="38">
        <v>0.26608931813751696</v>
      </c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>
      <c r="A119" s="36">
        <v>46357</v>
      </c>
      <c r="B119" s="37">
        <v>2026</v>
      </c>
      <c r="C119" s="37" t="s">
        <v>45</v>
      </c>
      <c r="D119" s="37" t="s">
        <v>38</v>
      </c>
      <c r="E119" s="37">
        <v>139</v>
      </c>
      <c r="F119" s="37">
        <v>114</v>
      </c>
      <c r="G119" s="38">
        <v>0.76236388629158058</v>
      </c>
      <c r="H119" s="39">
        <v>2189.3795</v>
      </c>
      <c r="I119" s="40">
        <v>30.444454482773022</v>
      </c>
      <c r="J119" s="40">
        <v>15.470699999999999</v>
      </c>
      <c r="K119" s="40">
        <v>1.9788895413802465</v>
      </c>
      <c r="L119" s="40">
        <v>1.31355</v>
      </c>
      <c r="M119" s="40">
        <v>0.76449999999999996</v>
      </c>
      <c r="N119" s="40">
        <v>0.36533345379327625</v>
      </c>
      <c r="O119" s="40">
        <v>0.24355563586218418</v>
      </c>
      <c r="P119" s="40">
        <v>0.48711127172436836</v>
      </c>
      <c r="Q119" s="40">
        <v>20.623639902760075</v>
      </c>
      <c r="R119" s="40">
        <v>12.994864941392777</v>
      </c>
      <c r="S119" s="38">
        <v>0.4268384887220073</v>
      </c>
      <c r="T119" s="40">
        <v>9.8208145800129465</v>
      </c>
      <c r="U119" s="38">
        <v>0.32258139443983302</v>
      </c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>
      <c r="A120" s="36">
        <v>46357</v>
      </c>
      <c r="B120" s="37">
        <v>2026</v>
      </c>
      <c r="C120" s="37" t="s">
        <v>45</v>
      </c>
      <c r="D120" s="37" t="s">
        <v>39</v>
      </c>
      <c r="E120" s="37">
        <v>122</v>
      </c>
      <c r="F120" s="37">
        <v>101</v>
      </c>
      <c r="G120" s="38">
        <v>0.79589252816092726</v>
      </c>
      <c r="H120" s="39">
        <v>2349.578</v>
      </c>
      <c r="I120" s="40">
        <v>30.21938704442573</v>
      </c>
      <c r="J120" s="40">
        <v>14.225200000000001</v>
      </c>
      <c r="K120" s="40">
        <v>2.0851377060653755</v>
      </c>
      <c r="L120" s="40">
        <v>1.2809999999999999</v>
      </c>
      <c r="M120" s="40">
        <v>0.67099999999999993</v>
      </c>
      <c r="N120" s="40">
        <v>0.36263264453310878</v>
      </c>
      <c r="O120" s="40">
        <v>0.24175509635540585</v>
      </c>
      <c r="P120" s="40">
        <v>0.48351019271081169</v>
      </c>
      <c r="Q120" s="40">
        <v>19.3502356396647</v>
      </c>
      <c r="R120" s="40">
        <v>13.909049338360354</v>
      </c>
      <c r="S120" s="38">
        <v>0.4602690755412267</v>
      </c>
      <c r="T120" s="40">
        <v>10.86915140476103</v>
      </c>
      <c r="U120" s="38">
        <v>0.35967478058976565</v>
      </c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>
      <c r="A121" s="36">
        <v>46357</v>
      </c>
      <c r="B121" s="37">
        <v>2026</v>
      </c>
      <c r="C121" s="37" t="s">
        <v>45</v>
      </c>
      <c r="D121" s="37" t="s">
        <v>40</v>
      </c>
      <c r="E121" s="37">
        <v>95</v>
      </c>
      <c r="F121" s="37">
        <v>81</v>
      </c>
      <c r="G121" s="38">
        <v>0.81397951185129713</v>
      </c>
      <c r="H121" s="39">
        <v>2563.1759999999999</v>
      </c>
      <c r="I121" s="40">
        <v>27.039390830525726</v>
      </c>
      <c r="J121" s="40">
        <v>12.084000000000001</v>
      </c>
      <c r="K121" s="40">
        <v>1.9738755306283782</v>
      </c>
      <c r="L121" s="40">
        <v>1.0972500000000001</v>
      </c>
      <c r="M121" s="40">
        <v>0.52249999999999996</v>
      </c>
      <c r="N121" s="40">
        <v>0.32447268996630874</v>
      </c>
      <c r="O121" s="40">
        <v>0.2163151266442058</v>
      </c>
      <c r="P121" s="40">
        <v>0.43263025328841159</v>
      </c>
      <c r="Q121" s="40">
        <v>16.651043600527306</v>
      </c>
      <c r="R121" s="40">
        <v>12.981515299897346</v>
      </c>
      <c r="S121" s="38">
        <v>0.48009644082817332</v>
      </c>
      <c r="T121" s="40">
        <v>10.38834722999842</v>
      </c>
      <c r="U121" s="38">
        <v>0.38419309425679243</v>
      </c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>
      <c r="A122" s="36">
        <v>46357</v>
      </c>
      <c r="B122" s="37">
        <v>2026</v>
      </c>
      <c r="C122" s="37" t="s">
        <v>45</v>
      </c>
      <c r="D122" s="37" t="s">
        <v>41</v>
      </c>
      <c r="E122" s="37">
        <v>190</v>
      </c>
      <c r="F122" s="37">
        <v>150</v>
      </c>
      <c r="G122" s="38">
        <v>0.7554922109461516</v>
      </c>
      <c r="H122" s="39">
        <v>2082.5805</v>
      </c>
      <c r="I122" s="40">
        <v>37.760960314040204</v>
      </c>
      <c r="J122" s="40">
        <v>19.334400000000002</v>
      </c>
      <c r="K122" s="40">
        <v>2.9075939441810958</v>
      </c>
      <c r="L122" s="40">
        <v>1.5960000000000001</v>
      </c>
      <c r="M122" s="40">
        <v>1.0449999999999999</v>
      </c>
      <c r="N122" s="40">
        <v>0.45313152376848248</v>
      </c>
      <c r="O122" s="40">
        <v>0.30208768251232165</v>
      </c>
      <c r="P122" s="40">
        <v>0.60417536502464331</v>
      </c>
      <c r="Q122" s="40">
        <v>26.242388515486546</v>
      </c>
      <c r="R122" s="40">
        <v>15.518966369859108</v>
      </c>
      <c r="S122" s="38">
        <v>0.41097912343317383</v>
      </c>
      <c r="T122" s="40">
        <v>11.518571798553658</v>
      </c>
      <c r="U122" s="38">
        <v>0.30503916486125077</v>
      </c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>
      <c r="A123" s="36">
        <v>46357</v>
      </c>
      <c r="B123" s="37">
        <v>2026</v>
      </c>
      <c r="C123" s="37" t="s">
        <v>45</v>
      </c>
      <c r="D123" s="37" t="s">
        <v>42</v>
      </c>
      <c r="E123" s="37">
        <v>167</v>
      </c>
      <c r="F123" s="37">
        <v>129</v>
      </c>
      <c r="G123" s="38">
        <v>0.73426596993914495</v>
      </c>
      <c r="H123" s="39">
        <v>1922.3819999999998</v>
      </c>
      <c r="I123" s="40">
        <v>29.134179074118141</v>
      </c>
      <c r="J123" s="40">
        <v>16.28584</v>
      </c>
      <c r="K123" s="40">
        <v>2.3598685050035693</v>
      </c>
      <c r="L123" s="40">
        <v>1.2274500000000002</v>
      </c>
      <c r="M123" s="40">
        <v>0.91849999999999998</v>
      </c>
      <c r="N123" s="40">
        <v>0.34961014888941772</v>
      </c>
      <c r="O123" s="40">
        <v>0.23307343259294513</v>
      </c>
      <c r="P123" s="40">
        <v>0.46614686518589027</v>
      </c>
      <c r="Q123" s="40">
        <v>21.840488951671826</v>
      </c>
      <c r="R123" s="40">
        <v>10.488470569114572</v>
      </c>
      <c r="S123" s="38">
        <v>0.36000570129096887</v>
      </c>
      <c r="T123" s="40">
        <v>7.2936901224463142</v>
      </c>
      <c r="U123" s="38">
        <v>0.25034822858371841</v>
      </c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</sheetData>
  <mergeCells count="1">
    <mergeCell ref="A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showGridLines="0" workbookViewId="0">
      <pane ySplit="3" topLeftCell="A4" activePane="bottomLeft" state="frozen"/>
      <selection pane="bottomLeft" sqref="A1:J1"/>
    </sheetView>
  </sheetViews>
  <sheetFormatPr defaultRowHeight="14.4"/>
  <cols>
    <col min="1" max="1" width="12" style="18" bestFit="1" customWidth="1"/>
    <col min="2" max="2" width="26" style="18" customWidth="1"/>
    <col min="3" max="3" width="8.296875" style="18" customWidth="1"/>
    <col min="4" max="4" width="11.59765625" style="18" customWidth="1"/>
    <col min="5" max="5" width="14.19921875" style="18" customWidth="1"/>
    <col min="6" max="6" width="11.09765625" style="18" customWidth="1"/>
    <col min="7" max="7" width="16.8984375" style="18" customWidth="1"/>
    <col min="8" max="8" width="19.69921875" style="18" customWidth="1"/>
    <col min="9" max="9" width="17" style="18" customWidth="1"/>
    <col min="10" max="10" width="38" style="18" customWidth="1"/>
    <col min="11" max="16384" width="8.796875" style="18"/>
  </cols>
  <sheetData>
    <row r="1" spans="1:52" ht="24" customHeight="1">
      <c r="A1" s="43" t="s">
        <v>86</v>
      </c>
      <c r="B1" s="44"/>
      <c r="C1" s="44"/>
      <c r="D1" s="44"/>
      <c r="E1" s="44"/>
      <c r="F1" s="44"/>
      <c r="G1" s="44"/>
      <c r="H1" s="44"/>
      <c r="I1" s="44"/>
      <c r="J1" s="44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16</v>
      </c>
      <c r="B3" s="22" t="s">
        <v>19</v>
      </c>
      <c r="C3" s="22" t="s">
        <v>21</v>
      </c>
      <c r="D3" s="22" t="s">
        <v>74</v>
      </c>
      <c r="E3" s="22" t="s">
        <v>88</v>
      </c>
      <c r="F3" s="22" t="s">
        <v>89</v>
      </c>
      <c r="G3" s="22" t="s">
        <v>90</v>
      </c>
      <c r="H3" s="22" t="s">
        <v>91</v>
      </c>
      <c r="I3" s="22" t="s">
        <v>92</v>
      </c>
      <c r="J3" s="22" t="s">
        <v>93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46">
        <v>46388</v>
      </c>
      <c r="B4" s="17" t="s">
        <v>38</v>
      </c>
      <c r="C4" s="47">
        <f>'Headcount Plan'!I4</f>
        <v>119.09816666666667</v>
      </c>
      <c r="D4" s="48">
        <f>Assumptions!D13</f>
        <v>0.78</v>
      </c>
      <c r="E4" s="48">
        <f>MAX(0,MIN(0.95,D4+Assumptions!$B$6))</f>
        <v>0.78</v>
      </c>
      <c r="F4" s="49">
        <f>Assumptions!$B$21</f>
        <v>160</v>
      </c>
      <c r="G4" s="49">
        <f>Assumptions!E13</f>
        <v>2250</v>
      </c>
      <c r="H4" s="49">
        <f>G4*(1+Assumptions!$B$7)</f>
        <v>2362.5</v>
      </c>
      <c r="I4" s="50">
        <f>C4*E4*F4*H4/1000000</f>
        <v>35.114903460000001</v>
      </c>
      <c r="J4" s="17" t="s">
        <v>94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46">
        <v>46388</v>
      </c>
      <c r="B5" s="17" t="s">
        <v>39</v>
      </c>
      <c r="C5" s="47">
        <f>'Headcount Plan'!I5</f>
        <v>105.175</v>
      </c>
      <c r="D5" s="48">
        <f>Assumptions!D14</f>
        <v>0.8</v>
      </c>
      <c r="E5" s="48">
        <f>MAX(0,MIN(0.95,D5+Assumptions!$B$6))</f>
        <v>0.8</v>
      </c>
      <c r="F5" s="49">
        <f>Assumptions!$B$21</f>
        <v>160</v>
      </c>
      <c r="G5" s="49">
        <f>Assumptions!E14</f>
        <v>2400</v>
      </c>
      <c r="H5" s="49">
        <f>G5*(1+Assumptions!$B$7)</f>
        <v>2520</v>
      </c>
      <c r="I5" s="50">
        <f t="shared" ref="I5:I35" si="0">C5*E5*F5*H5/1000000</f>
        <v>33.925248000000003</v>
      </c>
      <c r="J5" s="17" t="s">
        <v>94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46">
        <v>46388</v>
      </c>
      <c r="B6" s="17" t="s">
        <v>40</v>
      </c>
      <c r="C6" s="47">
        <f>'Headcount Plan'!I6</f>
        <v>81.836166666666671</v>
      </c>
      <c r="D6" s="48">
        <f>Assumptions!D15</f>
        <v>0.82</v>
      </c>
      <c r="E6" s="48">
        <f>MAX(0,MIN(0.95,D6+Assumptions!$B$6))</f>
        <v>0.82</v>
      </c>
      <c r="F6" s="49">
        <f>Assumptions!$B$21</f>
        <v>160</v>
      </c>
      <c r="G6" s="49">
        <f>Assumptions!E15</f>
        <v>2600</v>
      </c>
      <c r="H6" s="49">
        <f>G6*(1+Assumptions!$B$7)</f>
        <v>2730</v>
      </c>
      <c r="I6" s="50">
        <f t="shared" si="0"/>
        <v>29.311750831999998</v>
      </c>
      <c r="J6" s="17" t="s">
        <v>94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46">
        <v>46388</v>
      </c>
      <c r="B7" s="17" t="s">
        <v>41</v>
      </c>
      <c r="C7" s="47">
        <f>'Headcount Plan'!I7</f>
        <v>144.24</v>
      </c>
      <c r="D7" s="48">
        <f>Assumptions!D16</f>
        <v>0.76</v>
      </c>
      <c r="E7" s="48">
        <f>MAX(0,MIN(0.95,D7+Assumptions!$B$6))</f>
        <v>0.76</v>
      </c>
      <c r="F7" s="49">
        <f>Assumptions!$B$21</f>
        <v>160</v>
      </c>
      <c r="G7" s="49">
        <f>Assumptions!E16</f>
        <v>2100</v>
      </c>
      <c r="H7" s="49">
        <f>G7*(1+Assumptions!$B$7)</f>
        <v>2205</v>
      </c>
      <c r="I7" s="50">
        <f t="shared" si="0"/>
        <v>38.674782720000003</v>
      </c>
      <c r="J7" s="17" t="s">
        <v>94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46">
        <v>46388</v>
      </c>
      <c r="B8" s="17" t="s">
        <v>42</v>
      </c>
      <c r="C8" s="47">
        <f>'Headcount Plan'!I8</f>
        <v>121.1015</v>
      </c>
      <c r="D8" s="48">
        <f>Assumptions!D17</f>
        <v>0.74</v>
      </c>
      <c r="E8" s="48">
        <f>MAX(0,MIN(0.95,D8+Assumptions!$B$6))</f>
        <v>0.74</v>
      </c>
      <c r="F8" s="49">
        <f>Assumptions!$B$21</f>
        <v>160</v>
      </c>
      <c r="G8" s="49">
        <f>Assumptions!E17</f>
        <v>1950</v>
      </c>
      <c r="H8" s="49">
        <f>G8*(1+Assumptions!$B$7)</f>
        <v>2047.5</v>
      </c>
      <c r="I8" s="50">
        <f t="shared" si="0"/>
        <v>29.357910036000003</v>
      </c>
      <c r="J8" s="17" t="s">
        <v>94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46">
        <v>46419</v>
      </c>
      <c r="B9" s="17" t="s">
        <v>38</v>
      </c>
      <c r="C9" s="47">
        <f>'Headcount Plan'!I9</f>
        <v>119.49516055555554</v>
      </c>
      <c r="D9" s="48">
        <f>Assumptions!D13</f>
        <v>0.78</v>
      </c>
      <c r="E9" s="48">
        <f>MAX(0,MIN(0.95,D9+Assumptions!$B$6))</f>
        <v>0.78</v>
      </c>
      <c r="F9" s="49">
        <f>Assumptions!$B$21</f>
        <v>160</v>
      </c>
      <c r="G9" s="49">
        <f>Assumptions!E13</f>
        <v>2250</v>
      </c>
      <c r="H9" s="49">
        <f>G9*(1+Assumptions!$B$7)</f>
        <v>2362.5</v>
      </c>
      <c r="I9" s="50">
        <f t="shared" si="0"/>
        <v>35.231953138199998</v>
      </c>
      <c r="J9" s="17" t="s">
        <v>94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46">
        <v>46419</v>
      </c>
      <c r="B10" s="17" t="s">
        <v>39</v>
      </c>
      <c r="C10" s="47">
        <f>'Headcount Plan'!I10</f>
        <v>105.52558333333332</v>
      </c>
      <c r="D10" s="48">
        <f>Assumptions!D14</f>
        <v>0.8</v>
      </c>
      <c r="E10" s="48">
        <f>MAX(0,MIN(0.95,D10+Assumptions!$B$6))</f>
        <v>0.8</v>
      </c>
      <c r="F10" s="49">
        <f>Assumptions!$B$21</f>
        <v>160</v>
      </c>
      <c r="G10" s="49">
        <f>Assumptions!E14</f>
        <v>2400</v>
      </c>
      <c r="H10" s="49">
        <f>G10*(1+Assumptions!$B$7)</f>
        <v>2520</v>
      </c>
      <c r="I10" s="50">
        <f t="shared" si="0"/>
        <v>34.038332159999996</v>
      </c>
      <c r="J10" s="17" t="s">
        <v>94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46">
        <v>46419</v>
      </c>
      <c r="B11" s="17" t="s">
        <v>40</v>
      </c>
      <c r="C11" s="47">
        <f>'Headcount Plan'!I11</f>
        <v>82.108953888888891</v>
      </c>
      <c r="D11" s="48">
        <f>Assumptions!D15</f>
        <v>0.82</v>
      </c>
      <c r="E11" s="48">
        <f>MAX(0,MIN(0.95,D11+Assumptions!$B$6))</f>
        <v>0.82</v>
      </c>
      <c r="F11" s="49">
        <f>Assumptions!$B$21</f>
        <v>160</v>
      </c>
      <c r="G11" s="49">
        <f>Assumptions!E15</f>
        <v>2600</v>
      </c>
      <c r="H11" s="49">
        <f>G11*(1+Assumptions!$B$7)</f>
        <v>2730</v>
      </c>
      <c r="I11" s="50">
        <f t="shared" si="0"/>
        <v>29.409456668106664</v>
      </c>
      <c r="J11" s="17" t="s">
        <v>94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46">
        <v>46419</v>
      </c>
      <c r="B12" s="17" t="s">
        <v>41</v>
      </c>
      <c r="C12" s="47">
        <f>'Headcount Plan'!I12</f>
        <v>144.72080000000003</v>
      </c>
      <c r="D12" s="48">
        <f>Assumptions!D16</f>
        <v>0.76</v>
      </c>
      <c r="E12" s="48">
        <f>MAX(0,MIN(0.95,D12+Assumptions!$B$6))</f>
        <v>0.76</v>
      </c>
      <c r="F12" s="49">
        <f>Assumptions!$B$21</f>
        <v>160</v>
      </c>
      <c r="G12" s="49">
        <f>Assumptions!E16</f>
        <v>2100</v>
      </c>
      <c r="H12" s="49">
        <f>G12*(1+Assumptions!$B$7)</f>
        <v>2205</v>
      </c>
      <c r="I12" s="50">
        <f t="shared" si="0"/>
        <v>38.803698662400009</v>
      </c>
      <c r="J12" s="17" t="s">
        <v>94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46">
        <v>46419</v>
      </c>
      <c r="B13" s="17" t="s">
        <v>42</v>
      </c>
      <c r="C13" s="47">
        <f>'Headcount Plan'!I13</f>
        <v>121.50517166666667</v>
      </c>
      <c r="D13" s="48">
        <f>Assumptions!D17</f>
        <v>0.74</v>
      </c>
      <c r="E13" s="48">
        <f>MAX(0,MIN(0.95,D13+Assumptions!$B$6))</f>
        <v>0.74</v>
      </c>
      <c r="F13" s="49">
        <f>Assumptions!$B$21</f>
        <v>160</v>
      </c>
      <c r="G13" s="49">
        <f>Assumptions!E17</f>
        <v>1950</v>
      </c>
      <c r="H13" s="49">
        <f>G13*(1+Assumptions!$B$7)</f>
        <v>2047.5</v>
      </c>
      <c r="I13" s="50">
        <f t="shared" si="0"/>
        <v>29.455769736120001</v>
      </c>
      <c r="J13" s="17" t="s">
        <v>94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46">
        <v>46447</v>
      </c>
      <c r="B14" s="17" t="s">
        <v>38</v>
      </c>
      <c r="C14" s="47">
        <f>'Headcount Plan'!I14</f>
        <v>119.89347775740738</v>
      </c>
      <c r="D14" s="48">
        <f>Assumptions!D13</f>
        <v>0.78</v>
      </c>
      <c r="E14" s="48">
        <f>MAX(0,MIN(0.95,D14+Assumptions!$B$6))</f>
        <v>0.78</v>
      </c>
      <c r="F14" s="49">
        <f>Assumptions!$B$21</f>
        <v>160</v>
      </c>
      <c r="G14" s="49">
        <f>Assumptions!E13</f>
        <v>2250</v>
      </c>
      <c r="H14" s="49">
        <f>G14*(1+Assumptions!$B$7)</f>
        <v>2362.5</v>
      </c>
      <c r="I14" s="50">
        <f t="shared" si="0"/>
        <v>35.349392981993986</v>
      </c>
      <c r="J14" s="17" t="s">
        <v>94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46">
        <v>46447</v>
      </c>
      <c r="B15" s="17" t="s">
        <v>39</v>
      </c>
      <c r="C15" s="47">
        <f>'Headcount Plan'!I15</f>
        <v>105.87733527777776</v>
      </c>
      <c r="D15" s="48">
        <f>Assumptions!D14</f>
        <v>0.8</v>
      </c>
      <c r="E15" s="48">
        <f>MAX(0,MIN(0.95,D15+Assumptions!$B$6))</f>
        <v>0.8</v>
      </c>
      <c r="F15" s="49">
        <f>Assumptions!$B$21</f>
        <v>160</v>
      </c>
      <c r="G15" s="49">
        <f>Assumptions!E14</f>
        <v>2400</v>
      </c>
      <c r="H15" s="49">
        <f>G15*(1+Assumptions!$B$7)</f>
        <v>2520</v>
      </c>
      <c r="I15" s="50">
        <f t="shared" si="0"/>
        <v>34.151793267199999</v>
      </c>
      <c r="J15" s="17" t="s">
        <v>94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46">
        <v>46447</v>
      </c>
      <c r="B16" s="17" t="s">
        <v>40</v>
      </c>
      <c r="C16" s="47">
        <f>'Headcount Plan'!I16</f>
        <v>82.382650401851848</v>
      </c>
      <c r="D16" s="48">
        <f>Assumptions!D15</f>
        <v>0.82</v>
      </c>
      <c r="E16" s="48">
        <f>MAX(0,MIN(0.95,D16+Assumptions!$B$6))</f>
        <v>0.82</v>
      </c>
      <c r="F16" s="49">
        <f>Assumptions!$B$21</f>
        <v>160</v>
      </c>
      <c r="G16" s="49">
        <f>Assumptions!E15</f>
        <v>2600</v>
      </c>
      <c r="H16" s="49">
        <f>G16*(1+Assumptions!$B$7)</f>
        <v>2730</v>
      </c>
      <c r="I16" s="50">
        <f t="shared" si="0"/>
        <v>29.507488190333682</v>
      </c>
      <c r="J16" s="17" t="s">
        <v>94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46">
        <v>46447</v>
      </c>
      <c r="B17" s="17" t="s">
        <v>41</v>
      </c>
      <c r="C17" s="47">
        <f>'Headcount Plan'!I17</f>
        <v>145.20320266666667</v>
      </c>
      <c r="D17" s="48">
        <f>Assumptions!D16</f>
        <v>0.76</v>
      </c>
      <c r="E17" s="48">
        <f>MAX(0,MIN(0.95,D17+Assumptions!$B$6))</f>
        <v>0.76</v>
      </c>
      <c r="F17" s="49">
        <f>Assumptions!$B$21</f>
        <v>160</v>
      </c>
      <c r="G17" s="49">
        <f>Assumptions!E16</f>
        <v>2100</v>
      </c>
      <c r="H17" s="49">
        <f>G17*(1+Assumptions!$B$7)</f>
        <v>2205</v>
      </c>
      <c r="I17" s="50">
        <f t="shared" si="0"/>
        <v>38.933044324608005</v>
      </c>
      <c r="J17" s="17" t="s">
        <v>94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46">
        <v>46447</v>
      </c>
      <c r="B18" s="17" t="s">
        <v>42</v>
      </c>
      <c r="C18" s="47">
        <f>'Headcount Plan'!I18</f>
        <v>121.91018890555559</v>
      </c>
      <c r="D18" s="48">
        <f>Assumptions!D17</f>
        <v>0.74</v>
      </c>
      <c r="E18" s="48">
        <f>MAX(0,MIN(0.95,D18+Assumptions!$B$6))</f>
        <v>0.74</v>
      </c>
      <c r="F18" s="49">
        <f>Assumptions!$B$21</f>
        <v>160</v>
      </c>
      <c r="G18" s="49">
        <f>Assumptions!E17</f>
        <v>1950</v>
      </c>
      <c r="H18" s="49">
        <f>G18*(1+Assumptions!$B$7)</f>
        <v>2047.5</v>
      </c>
      <c r="I18" s="50">
        <f t="shared" si="0"/>
        <v>29.553955635240403</v>
      </c>
      <c r="J18" s="17" t="s">
        <v>94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46">
        <v>46478</v>
      </c>
      <c r="B19" s="17" t="s">
        <v>38</v>
      </c>
      <c r="C19" s="47">
        <f>'Headcount Plan'!I19</f>
        <v>120.29312268326539</v>
      </c>
      <c r="D19" s="48">
        <f>Assumptions!D13</f>
        <v>0.78</v>
      </c>
      <c r="E19" s="48">
        <f>MAX(0,MIN(0.95,D19+Assumptions!$B$6))</f>
        <v>0.78</v>
      </c>
      <c r="F19" s="49">
        <f>Assumptions!$B$21</f>
        <v>160</v>
      </c>
      <c r="G19" s="49">
        <f>Assumptions!E13</f>
        <v>2250</v>
      </c>
      <c r="H19" s="49">
        <f>G19*(1+Assumptions!$B$7)</f>
        <v>2362.5</v>
      </c>
      <c r="I19" s="50">
        <f t="shared" si="0"/>
        <v>35.467224291933974</v>
      </c>
      <c r="J19" s="17" t="s">
        <v>94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46">
        <v>46478</v>
      </c>
      <c r="B20" s="17" t="s">
        <v>39</v>
      </c>
      <c r="C20" s="47">
        <f>'Headcount Plan'!I20</f>
        <v>106.2302597287037</v>
      </c>
      <c r="D20" s="48">
        <f>Assumptions!D14</f>
        <v>0.8</v>
      </c>
      <c r="E20" s="48">
        <f>MAX(0,MIN(0.95,D20+Assumptions!$B$6))</f>
        <v>0.8</v>
      </c>
      <c r="F20" s="49">
        <f>Assumptions!$B$21</f>
        <v>160</v>
      </c>
      <c r="G20" s="49">
        <f>Assumptions!E14</f>
        <v>2400</v>
      </c>
      <c r="H20" s="49">
        <f>G20*(1+Assumptions!$B$7)</f>
        <v>2520</v>
      </c>
      <c r="I20" s="50">
        <f t="shared" si="0"/>
        <v>34.265632578090667</v>
      </c>
      <c r="J20" s="17" t="s">
        <v>94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46">
        <v>46478</v>
      </c>
      <c r="B21" s="17" t="s">
        <v>40</v>
      </c>
      <c r="C21" s="47">
        <f>'Headcount Plan'!I21</f>
        <v>82.657259236524709</v>
      </c>
      <c r="D21" s="48">
        <f>Assumptions!D15</f>
        <v>0.82</v>
      </c>
      <c r="E21" s="48">
        <f>MAX(0,MIN(0.95,D21+Assumptions!$B$6))</f>
        <v>0.82</v>
      </c>
      <c r="F21" s="49">
        <f>Assumptions!$B$21</f>
        <v>160</v>
      </c>
      <c r="G21" s="49">
        <f>Assumptions!E15</f>
        <v>2600</v>
      </c>
      <c r="H21" s="49">
        <f>G21*(1+Assumptions!$B$7)</f>
        <v>2730</v>
      </c>
      <c r="I21" s="50">
        <f t="shared" si="0"/>
        <v>29.605846484301477</v>
      </c>
      <c r="J21" s="17" t="s">
        <v>94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46">
        <v>46478</v>
      </c>
      <c r="B22" s="17" t="s">
        <v>41</v>
      </c>
      <c r="C22" s="47">
        <f>'Headcount Plan'!I22</f>
        <v>145.68721334222224</v>
      </c>
      <c r="D22" s="48">
        <f>Assumptions!D16</f>
        <v>0.76</v>
      </c>
      <c r="E22" s="48">
        <f>MAX(0,MIN(0.95,D22+Assumptions!$B$6))</f>
        <v>0.76</v>
      </c>
      <c r="F22" s="49">
        <f>Assumptions!$B$21</f>
        <v>160</v>
      </c>
      <c r="G22" s="49">
        <f>Assumptions!E16</f>
        <v>2100</v>
      </c>
      <c r="H22" s="49">
        <f>G22*(1+Assumptions!$B$7)</f>
        <v>2205</v>
      </c>
      <c r="I22" s="50">
        <f t="shared" si="0"/>
        <v>39.06282113902337</v>
      </c>
      <c r="J22" s="17" t="s">
        <v>94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46">
        <v>46478</v>
      </c>
      <c r="B23" s="17" t="s">
        <v>42</v>
      </c>
      <c r="C23" s="47">
        <f>'Headcount Plan'!I23</f>
        <v>122.3165562019074</v>
      </c>
      <c r="D23" s="48">
        <f>Assumptions!D17</f>
        <v>0.74</v>
      </c>
      <c r="E23" s="48">
        <f>MAX(0,MIN(0.95,D23+Assumptions!$B$6))</f>
        <v>0.74</v>
      </c>
      <c r="F23" s="49">
        <f>Assumptions!$B$21</f>
        <v>160</v>
      </c>
      <c r="G23" s="49">
        <f>Assumptions!E17</f>
        <v>1950</v>
      </c>
      <c r="H23" s="49">
        <f>G23*(1+Assumptions!$B$7)</f>
        <v>2047.5</v>
      </c>
      <c r="I23" s="50">
        <f t="shared" si="0"/>
        <v>29.652468820691197</v>
      </c>
      <c r="J23" s="17" t="s">
        <v>94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46">
        <v>46508</v>
      </c>
      <c r="B24" s="17" t="s">
        <v>38</v>
      </c>
      <c r="C24" s="47">
        <f>'Headcount Plan'!I24</f>
        <v>120.69409975887626</v>
      </c>
      <c r="D24" s="48">
        <f>Assumptions!D13</f>
        <v>0.78</v>
      </c>
      <c r="E24" s="48">
        <f>MAX(0,MIN(0.95,D24+Assumptions!$B$6))</f>
        <v>0.78</v>
      </c>
      <c r="F24" s="49">
        <f>Assumptions!$B$21</f>
        <v>160</v>
      </c>
      <c r="G24" s="49">
        <f>Assumptions!E13</f>
        <v>2250</v>
      </c>
      <c r="H24" s="49">
        <f>G24*(1+Assumptions!$B$7)</f>
        <v>2362.5</v>
      </c>
      <c r="I24" s="50">
        <f t="shared" si="0"/>
        <v>35.585448372907074</v>
      </c>
      <c r="J24" s="17" t="s">
        <v>94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46">
        <v>46508</v>
      </c>
      <c r="B25" s="17" t="s">
        <v>39</v>
      </c>
      <c r="C25" s="47">
        <f>'Headcount Plan'!I25</f>
        <v>106.58436059446603</v>
      </c>
      <c r="D25" s="48">
        <f>Assumptions!D14</f>
        <v>0.8</v>
      </c>
      <c r="E25" s="48">
        <f>MAX(0,MIN(0.95,D25+Assumptions!$B$6))</f>
        <v>0.8</v>
      </c>
      <c r="F25" s="49">
        <f>Assumptions!$B$21</f>
        <v>160</v>
      </c>
      <c r="G25" s="49">
        <f>Assumptions!E14</f>
        <v>2400</v>
      </c>
      <c r="H25" s="49">
        <f>G25*(1+Assumptions!$B$7)</f>
        <v>2520</v>
      </c>
      <c r="I25" s="50">
        <f t="shared" si="0"/>
        <v>34.379851353350965</v>
      </c>
      <c r="J25" s="17" t="s">
        <v>94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46">
        <v>46508</v>
      </c>
      <c r="B26" s="17" t="s">
        <v>40</v>
      </c>
      <c r="C26" s="47">
        <f>'Headcount Plan'!I26</f>
        <v>82.932783433979765</v>
      </c>
      <c r="D26" s="48">
        <f>Assumptions!D15</f>
        <v>0.82</v>
      </c>
      <c r="E26" s="48">
        <f>MAX(0,MIN(0.95,D26+Assumptions!$B$6))</f>
        <v>0.82</v>
      </c>
      <c r="F26" s="49">
        <f>Assumptions!$B$21</f>
        <v>160</v>
      </c>
      <c r="G26" s="49">
        <f>Assumptions!E15</f>
        <v>2600</v>
      </c>
      <c r="H26" s="49">
        <f>G26*(1+Assumptions!$B$7)</f>
        <v>2730</v>
      </c>
      <c r="I26" s="50">
        <f t="shared" si="0"/>
        <v>29.704532639249134</v>
      </c>
      <c r="J26" s="17" t="s">
        <v>94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46">
        <v>46508</v>
      </c>
      <c r="B27" s="17" t="s">
        <v>41</v>
      </c>
      <c r="C27" s="47">
        <f>'Headcount Plan'!I27</f>
        <v>146.1728373866963</v>
      </c>
      <c r="D27" s="48">
        <f>Assumptions!D16</f>
        <v>0.76</v>
      </c>
      <c r="E27" s="48">
        <f>MAX(0,MIN(0.95,D27+Assumptions!$B$6))</f>
        <v>0.76</v>
      </c>
      <c r="F27" s="49">
        <f>Assumptions!$B$21</f>
        <v>160</v>
      </c>
      <c r="G27" s="49">
        <f>Assumptions!E16</f>
        <v>2100</v>
      </c>
      <c r="H27" s="49">
        <f>G27*(1+Assumptions!$B$7)</f>
        <v>2205</v>
      </c>
      <c r="I27" s="50">
        <f t="shared" si="0"/>
        <v>39.193030542820104</v>
      </c>
      <c r="J27" s="17" t="s">
        <v>94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46">
        <v>46508</v>
      </c>
      <c r="B28" s="17" t="s">
        <v>42</v>
      </c>
      <c r="C28" s="47">
        <f>'Headcount Plan'!I28</f>
        <v>122.72427805591376</v>
      </c>
      <c r="D28" s="48">
        <f>Assumptions!D17</f>
        <v>0.74</v>
      </c>
      <c r="E28" s="48">
        <f>MAX(0,MIN(0.95,D28+Assumptions!$B$6))</f>
        <v>0.74</v>
      </c>
      <c r="F28" s="49">
        <f>Assumptions!$B$21</f>
        <v>160</v>
      </c>
      <c r="G28" s="49">
        <f>Assumptions!E17</f>
        <v>1950</v>
      </c>
      <c r="H28" s="49">
        <f>G28*(1+Assumptions!$B$7)</f>
        <v>2047.5</v>
      </c>
      <c r="I28" s="50">
        <f t="shared" si="0"/>
        <v>29.751310383426834</v>
      </c>
      <c r="J28" s="17" t="s">
        <v>94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46">
        <v>46539</v>
      </c>
      <c r="B29" s="17" t="s">
        <v>38</v>
      </c>
      <c r="C29" s="47">
        <f>'Headcount Plan'!I29</f>
        <v>121.09641342473917</v>
      </c>
      <c r="D29" s="48">
        <f>Assumptions!D13</f>
        <v>0.78</v>
      </c>
      <c r="E29" s="48">
        <f>MAX(0,MIN(0.95,D29+Assumptions!$B$6))</f>
        <v>0.78</v>
      </c>
      <c r="F29" s="49">
        <f>Assumptions!$B$21</f>
        <v>160</v>
      </c>
      <c r="G29" s="49">
        <f>Assumptions!E13</f>
        <v>2250</v>
      </c>
      <c r="H29" s="49">
        <f>G29*(1+Assumptions!$B$7)</f>
        <v>2362.5</v>
      </c>
      <c r="I29" s="50">
        <f t="shared" si="0"/>
        <v>35.704066534150101</v>
      </c>
      <c r="J29" s="17" t="s">
        <v>94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46">
        <v>46539</v>
      </c>
      <c r="B30" s="17" t="s">
        <v>39</v>
      </c>
      <c r="C30" s="47">
        <f>'Headcount Plan'!I30</f>
        <v>106.93964179644757</v>
      </c>
      <c r="D30" s="48">
        <f>Assumptions!D14</f>
        <v>0.8</v>
      </c>
      <c r="E30" s="48">
        <f>MAX(0,MIN(0.95,D30+Assumptions!$B$6))</f>
        <v>0.8</v>
      </c>
      <c r="F30" s="49">
        <f>Assumptions!$B$21</f>
        <v>160</v>
      </c>
      <c r="G30" s="49">
        <f>Assumptions!E14</f>
        <v>2400</v>
      </c>
      <c r="H30" s="49">
        <f>G30*(1+Assumptions!$B$7)</f>
        <v>2520</v>
      </c>
      <c r="I30" s="50">
        <f t="shared" si="0"/>
        <v>34.494450857862134</v>
      </c>
      <c r="J30" s="17" t="s">
        <v>94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46">
        <v>46539</v>
      </c>
      <c r="B31" s="17" t="s">
        <v>40</v>
      </c>
      <c r="C31" s="47">
        <f>'Headcount Plan'!I31</f>
        <v>83.209226045426377</v>
      </c>
      <c r="D31" s="48">
        <f>Assumptions!D15</f>
        <v>0.82</v>
      </c>
      <c r="E31" s="48">
        <f>MAX(0,MIN(0.95,D31+Assumptions!$B$6))</f>
        <v>0.82</v>
      </c>
      <c r="F31" s="49">
        <f>Assumptions!$B$21</f>
        <v>160</v>
      </c>
      <c r="G31" s="49">
        <f>Assumptions!E15</f>
        <v>2600</v>
      </c>
      <c r="H31" s="49">
        <f>G31*(1+Assumptions!$B$7)</f>
        <v>2730</v>
      </c>
      <c r="I31" s="50">
        <f t="shared" si="0"/>
        <v>29.803547748046636</v>
      </c>
      <c r="J31" s="17" t="s">
        <v>94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46">
        <v>46539</v>
      </c>
      <c r="B32" s="17" t="s">
        <v>41</v>
      </c>
      <c r="C32" s="47">
        <f>'Headcount Plan'!I32</f>
        <v>146.66008017798532</v>
      </c>
      <c r="D32" s="48">
        <f>Assumptions!D16</f>
        <v>0.76</v>
      </c>
      <c r="E32" s="48">
        <f>MAX(0,MIN(0.95,D32+Assumptions!$B$6))</f>
        <v>0.76</v>
      </c>
      <c r="F32" s="49">
        <f>Assumptions!$B$21</f>
        <v>160</v>
      </c>
      <c r="G32" s="49">
        <f>Assumptions!E16</f>
        <v>2100</v>
      </c>
      <c r="H32" s="49">
        <f>G32*(1+Assumptions!$B$7)</f>
        <v>2205</v>
      </c>
      <c r="I32" s="50">
        <f t="shared" si="0"/>
        <v>39.323673977962841</v>
      </c>
      <c r="J32" s="17" t="s">
        <v>94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46">
        <v>46539</v>
      </c>
      <c r="B33" s="17" t="s">
        <v>42</v>
      </c>
      <c r="C33" s="47">
        <f>'Headcount Plan'!I33</f>
        <v>123.13335898276682</v>
      </c>
      <c r="D33" s="48">
        <f>Assumptions!D17</f>
        <v>0.74</v>
      </c>
      <c r="E33" s="48">
        <f>MAX(0,MIN(0.95,D33+Assumptions!$B$6))</f>
        <v>0.74</v>
      </c>
      <c r="F33" s="49">
        <f>Assumptions!$B$21</f>
        <v>160</v>
      </c>
      <c r="G33" s="49">
        <f>Assumptions!E17</f>
        <v>1950</v>
      </c>
      <c r="H33" s="49">
        <f>G33*(1+Assumptions!$B$7)</f>
        <v>2047.5</v>
      </c>
      <c r="I33" s="50">
        <f t="shared" si="0"/>
        <v>29.850481418038264</v>
      </c>
      <c r="J33" s="17" t="s">
        <v>94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46">
        <v>46569</v>
      </c>
      <c r="B34" s="17" t="s">
        <v>38</v>
      </c>
      <c r="C34" s="47">
        <f>'Headcount Plan'!I34</f>
        <v>121.50006813615499</v>
      </c>
      <c r="D34" s="48">
        <f>Assumptions!D13</f>
        <v>0.78</v>
      </c>
      <c r="E34" s="48">
        <f>MAX(0,MIN(0.95,D34+Assumptions!$B$6))</f>
        <v>0.78</v>
      </c>
      <c r="F34" s="49">
        <f>Assumptions!$B$21</f>
        <v>160</v>
      </c>
      <c r="G34" s="49">
        <f>Assumptions!E13</f>
        <v>2250</v>
      </c>
      <c r="H34" s="49">
        <f>G34*(1+Assumptions!$B$7)</f>
        <v>2362.5</v>
      </c>
      <c r="I34" s="50">
        <f t="shared" si="0"/>
        <v>35.823080089263939</v>
      </c>
      <c r="J34" s="17" t="s">
        <v>94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46">
        <v>46569</v>
      </c>
      <c r="B35" s="17" t="s">
        <v>39</v>
      </c>
      <c r="C35" s="47">
        <f>'Headcount Plan'!I35</f>
        <v>107.29610726910241</v>
      </c>
      <c r="D35" s="48">
        <f>Assumptions!D14</f>
        <v>0.8</v>
      </c>
      <c r="E35" s="48">
        <f>MAX(0,MIN(0.95,D35+Assumptions!$B$6))</f>
        <v>0.8</v>
      </c>
      <c r="F35" s="49">
        <f>Assumptions!$B$21</f>
        <v>160</v>
      </c>
      <c r="G35" s="49">
        <f>Assumptions!E14</f>
        <v>2400</v>
      </c>
      <c r="H35" s="49">
        <f>G35*(1+Assumptions!$B$7)</f>
        <v>2520</v>
      </c>
      <c r="I35" s="50">
        <f t="shared" si="0"/>
        <v>34.609432360721669</v>
      </c>
      <c r="J35" s="17" t="s">
        <v>94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46">
        <v>46569</v>
      </c>
      <c r="B36" s="17" t="s">
        <v>40</v>
      </c>
      <c r="C36" s="47">
        <f>'Headcount Plan'!I36</f>
        <v>83.486590132244459</v>
      </c>
      <c r="D36" s="48">
        <f>Assumptions!D15</f>
        <v>0.82</v>
      </c>
      <c r="E36" s="48">
        <f>MAX(0,MIN(0.95,D36+Assumptions!$B$6))</f>
        <v>0.82</v>
      </c>
      <c r="F36" s="49">
        <f>Assumptions!$B$21</f>
        <v>160</v>
      </c>
      <c r="G36" s="49">
        <f>Assumptions!E15</f>
        <v>2600</v>
      </c>
      <c r="H36" s="49">
        <f>G36*(1+Assumptions!$B$7)</f>
        <v>2730</v>
      </c>
      <c r="I36" s="50">
        <f t="shared" ref="I36:I63" si="1">C36*E36*F36*H36/1000000</f>
        <v>29.902892907206784</v>
      </c>
      <c r="J36" s="17" t="s">
        <v>94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46">
        <v>46569</v>
      </c>
      <c r="B37" s="17" t="s">
        <v>41</v>
      </c>
      <c r="C37" s="47">
        <f>'Headcount Plan'!I37</f>
        <v>147.14894711191192</v>
      </c>
      <c r="D37" s="48">
        <f>Assumptions!D16</f>
        <v>0.76</v>
      </c>
      <c r="E37" s="48">
        <f>MAX(0,MIN(0.95,D37+Assumptions!$B$6))</f>
        <v>0.76</v>
      </c>
      <c r="F37" s="49">
        <f>Assumptions!$B$21</f>
        <v>160</v>
      </c>
      <c r="G37" s="49">
        <f>Assumptions!E16</f>
        <v>2100</v>
      </c>
      <c r="H37" s="49">
        <f>G37*(1+Assumptions!$B$7)</f>
        <v>2205</v>
      </c>
      <c r="I37" s="50">
        <f t="shared" si="1"/>
        <v>39.454752891222718</v>
      </c>
      <c r="J37" s="17" t="s">
        <v>94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46">
        <v>46569</v>
      </c>
      <c r="B38" s="17" t="s">
        <v>42</v>
      </c>
      <c r="C38" s="47">
        <f>'Headcount Plan'!I38</f>
        <v>123.54380351270937</v>
      </c>
      <c r="D38" s="48">
        <f>Assumptions!D17</f>
        <v>0.74</v>
      </c>
      <c r="E38" s="48">
        <f>MAX(0,MIN(0.95,D38+Assumptions!$B$6))</f>
        <v>0.74</v>
      </c>
      <c r="F38" s="49">
        <f>Assumptions!$B$21</f>
        <v>160</v>
      </c>
      <c r="G38" s="49">
        <f>Assumptions!E17</f>
        <v>1950</v>
      </c>
      <c r="H38" s="49">
        <f>G38*(1+Assumptions!$B$7)</f>
        <v>2047.5</v>
      </c>
      <c r="I38" s="50">
        <f t="shared" si="1"/>
        <v>29.949983022765057</v>
      </c>
      <c r="J38" s="17" t="s">
        <v>94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46">
        <v>46600</v>
      </c>
      <c r="B39" s="17" t="s">
        <v>38</v>
      </c>
      <c r="C39" s="47">
        <f>'Headcount Plan'!I39</f>
        <v>121.90506836327549</v>
      </c>
      <c r="D39" s="48">
        <f>Assumptions!D13</f>
        <v>0.78</v>
      </c>
      <c r="E39" s="48">
        <f>MAX(0,MIN(0.95,D39+Assumptions!$B$6))</f>
        <v>0.78</v>
      </c>
      <c r="F39" s="49">
        <f>Assumptions!$B$21</f>
        <v>160</v>
      </c>
      <c r="G39" s="49">
        <f>Assumptions!E13</f>
        <v>2250</v>
      </c>
      <c r="H39" s="49">
        <f>G39*(1+Assumptions!$B$7)</f>
        <v>2362.5</v>
      </c>
      <c r="I39" s="50">
        <f t="shared" si="1"/>
        <v>35.942490356228149</v>
      </c>
      <c r="J39" s="17" t="s">
        <v>94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46">
        <v>46600</v>
      </c>
      <c r="B40" s="17" t="s">
        <v>39</v>
      </c>
      <c r="C40" s="47">
        <f>'Headcount Plan'!I40</f>
        <v>107.65376095999945</v>
      </c>
      <c r="D40" s="48">
        <f>Assumptions!D14</f>
        <v>0.8</v>
      </c>
      <c r="E40" s="48">
        <f>MAX(0,MIN(0.95,D40+Assumptions!$B$6))</f>
        <v>0.8</v>
      </c>
      <c r="F40" s="49">
        <f>Assumptions!$B$21</f>
        <v>160</v>
      </c>
      <c r="G40" s="49">
        <f>Assumptions!E14</f>
        <v>2400</v>
      </c>
      <c r="H40" s="49">
        <f>G40*(1+Assumptions!$B$7)</f>
        <v>2520</v>
      </c>
      <c r="I40" s="50">
        <f t="shared" si="1"/>
        <v>34.724797135257425</v>
      </c>
      <c r="J40" s="17" t="s">
        <v>94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46">
        <v>46600</v>
      </c>
      <c r="B41" s="17" t="s">
        <v>40</v>
      </c>
      <c r="C41" s="47">
        <f>'Headcount Plan'!I41</f>
        <v>83.764878766018597</v>
      </c>
      <c r="D41" s="48">
        <f>Assumptions!D15</f>
        <v>0.82</v>
      </c>
      <c r="E41" s="48">
        <f>MAX(0,MIN(0.95,D41+Assumptions!$B$6))</f>
        <v>0.82</v>
      </c>
      <c r="F41" s="49">
        <f>Assumptions!$B$21</f>
        <v>160</v>
      </c>
      <c r="G41" s="49">
        <f>Assumptions!E15</f>
        <v>2600</v>
      </c>
      <c r="H41" s="49">
        <f>G41*(1+Assumptions!$B$7)</f>
        <v>2730</v>
      </c>
      <c r="I41" s="50">
        <f t="shared" si="1"/>
        <v>30.002569216897474</v>
      </c>
      <c r="J41" s="17" t="s">
        <v>94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46">
        <v>46600</v>
      </c>
      <c r="B42" s="17" t="s">
        <v>41</v>
      </c>
      <c r="C42" s="47">
        <f>'Headcount Plan'!I42</f>
        <v>147.63944360228493</v>
      </c>
      <c r="D42" s="48">
        <f>Assumptions!D16</f>
        <v>0.76</v>
      </c>
      <c r="E42" s="48">
        <f>MAX(0,MIN(0.95,D42+Assumptions!$B$6))</f>
        <v>0.76</v>
      </c>
      <c r="F42" s="49">
        <f>Assumptions!$B$21</f>
        <v>160</v>
      </c>
      <c r="G42" s="49">
        <f>Assumptions!E16</f>
        <v>2100</v>
      </c>
      <c r="H42" s="49">
        <f>G42*(1+Assumptions!$B$7)</f>
        <v>2205</v>
      </c>
      <c r="I42" s="50">
        <f t="shared" si="1"/>
        <v>39.586268734193453</v>
      </c>
      <c r="J42" s="17" t="s">
        <v>94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46">
        <v>46600</v>
      </c>
      <c r="B43" s="17" t="s">
        <v>42</v>
      </c>
      <c r="C43" s="47">
        <f>'Headcount Plan'!I43</f>
        <v>123.95561619108508</v>
      </c>
      <c r="D43" s="48">
        <f>Assumptions!D17</f>
        <v>0.74</v>
      </c>
      <c r="E43" s="48">
        <f>MAX(0,MIN(0.95,D43+Assumptions!$B$6))</f>
        <v>0.74</v>
      </c>
      <c r="F43" s="49">
        <f>Assumptions!$B$21</f>
        <v>160</v>
      </c>
      <c r="G43" s="49">
        <f>Assumptions!E17</f>
        <v>1950</v>
      </c>
      <c r="H43" s="49">
        <f>G43*(1+Assumptions!$B$7)</f>
        <v>2047.5</v>
      </c>
      <c r="I43" s="50">
        <f t="shared" si="1"/>
        <v>30.049816299507611</v>
      </c>
      <c r="J43" s="17" t="s">
        <v>94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46">
        <v>46631</v>
      </c>
      <c r="B44" s="17" t="s">
        <v>38</v>
      </c>
      <c r="C44" s="47">
        <f>'Headcount Plan'!I44</f>
        <v>122.3114185911531</v>
      </c>
      <c r="D44" s="48">
        <f>Assumptions!D13</f>
        <v>0.78</v>
      </c>
      <c r="E44" s="48">
        <f>MAX(0,MIN(0.95,D44+Assumptions!$B$6))</f>
        <v>0.78</v>
      </c>
      <c r="F44" s="49">
        <f>Assumptions!$B$21</f>
        <v>160</v>
      </c>
      <c r="G44" s="49">
        <f>Assumptions!E13</f>
        <v>2250</v>
      </c>
      <c r="H44" s="49">
        <f>G44*(1+Assumptions!$B$7)</f>
        <v>2362.5</v>
      </c>
      <c r="I44" s="50">
        <f t="shared" si="1"/>
        <v>36.062298657415582</v>
      </c>
      <c r="J44" s="17" t="s">
        <v>94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46">
        <v>46631</v>
      </c>
      <c r="B45" s="17" t="s">
        <v>39</v>
      </c>
      <c r="C45" s="47">
        <f>'Headcount Plan'!I45</f>
        <v>108.0126068298661</v>
      </c>
      <c r="D45" s="48">
        <f>Assumptions!D14</f>
        <v>0.8</v>
      </c>
      <c r="E45" s="48">
        <f>MAX(0,MIN(0.95,D45+Assumptions!$B$6))</f>
        <v>0.8</v>
      </c>
      <c r="F45" s="49">
        <f>Assumptions!$B$21</f>
        <v>160</v>
      </c>
      <c r="G45" s="49">
        <f>Assumptions!E14</f>
        <v>2400</v>
      </c>
      <c r="H45" s="49">
        <f>G45*(1+Assumptions!$B$7)</f>
        <v>2520</v>
      </c>
      <c r="I45" s="50">
        <f t="shared" si="1"/>
        <v>34.840546459041612</v>
      </c>
      <c r="J45" s="17" t="s">
        <v>94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46">
        <v>46631</v>
      </c>
      <c r="B46" s="17" t="s">
        <v>40</v>
      </c>
      <c r="C46" s="47">
        <f>'Headcount Plan'!I46</f>
        <v>84.044095028571988</v>
      </c>
      <c r="D46" s="48">
        <f>Assumptions!D15</f>
        <v>0.82</v>
      </c>
      <c r="E46" s="48">
        <f>MAX(0,MIN(0.95,D46+Assumptions!$B$6))</f>
        <v>0.82</v>
      </c>
      <c r="F46" s="49">
        <f>Assumptions!$B$21</f>
        <v>160</v>
      </c>
      <c r="G46" s="49">
        <f>Assumptions!E15</f>
        <v>2600</v>
      </c>
      <c r="H46" s="49">
        <f>G46*(1+Assumptions!$B$7)</f>
        <v>2730</v>
      </c>
      <c r="I46" s="50">
        <f t="shared" si="1"/>
        <v>30.102577780953798</v>
      </c>
      <c r="J46" s="17" t="s">
        <v>94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46">
        <v>46631</v>
      </c>
      <c r="B47" s="17" t="s">
        <v>41</v>
      </c>
      <c r="C47" s="47">
        <f>'Headcount Plan'!I47</f>
        <v>148.13157508095921</v>
      </c>
      <c r="D47" s="48">
        <f>Assumptions!D16</f>
        <v>0.76</v>
      </c>
      <c r="E47" s="48">
        <f>MAX(0,MIN(0.95,D47+Assumptions!$B$6))</f>
        <v>0.76</v>
      </c>
      <c r="F47" s="49">
        <f>Assumptions!$B$21</f>
        <v>160</v>
      </c>
      <c r="G47" s="49">
        <f>Assumptions!E16</f>
        <v>2100</v>
      </c>
      <c r="H47" s="49">
        <f>G47*(1+Assumptions!$B$7)</f>
        <v>2205</v>
      </c>
      <c r="I47" s="50">
        <f t="shared" si="1"/>
        <v>39.718222963307433</v>
      </c>
      <c r="J47" s="17" t="s">
        <v>94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46">
        <v>46631</v>
      </c>
      <c r="B48" s="17" t="s">
        <v>42</v>
      </c>
      <c r="C48" s="47">
        <f>'Headcount Plan'!I48</f>
        <v>124.36880157838871</v>
      </c>
      <c r="D48" s="48">
        <f>Assumptions!D17</f>
        <v>0.74</v>
      </c>
      <c r="E48" s="48">
        <f>MAX(0,MIN(0.95,D48+Assumptions!$B$6))</f>
        <v>0.74</v>
      </c>
      <c r="F48" s="49">
        <f>Assumptions!$B$21</f>
        <v>160</v>
      </c>
      <c r="G48" s="49">
        <f>Assumptions!E17</f>
        <v>1950</v>
      </c>
      <c r="H48" s="49">
        <f>G48*(1+Assumptions!$B$7)</f>
        <v>2047.5</v>
      </c>
      <c r="I48" s="50">
        <f t="shared" si="1"/>
        <v>30.149982353839309</v>
      </c>
      <c r="J48" s="17" t="s">
        <v>94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46">
        <v>46661</v>
      </c>
      <c r="B49" s="17" t="s">
        <v>38</v>
      </c>
      <c r="C49" s="47">
        <f>'Headcount Plan'!I49</f>
        <v>122.71912331979026</v>
      </c>
      <c r="D49" s="48">
        <f>Assumptions!D13</f>
        <v>0.78</v>
      </c>
      <c r="E49" s="48">
        <f>MAX(0,MIN(0.95,D49+Assumptions!$B$6))</f>
        <v>0.78</v>
      </c>
      <c r="F49" s="49">
        <f>Assumptions!$B$21</f>
        <v>160</v>
      </c>
      <c r="G49" s="49">
        <f>Assumptions!E13</f>
        <v>2250</v>
      </c>
      <c r="H49" s="49">
        <f>G49*(1+Assumptions!$B$7)</f>
        <v>2362.5</v>
      </c>
      <c r="I49" s="50">
        <f t="shared" si="1"/>
        <v>36.182506319606965</v>
      </c>
      <c r="J49" s="17" t="s">
        <v>94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46">
        <v>46661</v>
      </c>
      <c r="B50" s="17" t="s">
        <v>39</v>
      </c>
      <c r="C50" s="47">
        <f>'Headcount Plan'!I50</f>
        <v>108.37264885263232</v>
      </c>
      <c r="D50" s="48">
        <f>Assumptions!D14</f>
        <v>0.8</v>
      </c>
      <c r="E50" s="48">
        <f>MAX(0,MIN(0.95,D50+Assumptions!$B$6))</f>
        <v>0.8</v>
      </c>
      <c r="F50" s="49">
        <f>Assumptions!$B$21</f>
        <v>160</v>
      </c>
      <c r="G50" s="49">
        <f>Assumptions!E14</f>
        <v>2400</v>
      </c>
      <c r="H50" s="49">
        <f>G50*(1+Assumptions!$B$7)</f>
        <v>2520</v>
      </c>
      <c r="I50" s="50">
        <f t="shared" si="1"/>
        <v>34.956681613905083</v>
      </c>
      <c r="J50" s="17" t="s">
        <v>94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46">
        <v>46661</v>
      </c>
      <c r="B51" s="17" t="s">
        <v>40</v>
      </c>
      <c r="C51" s="47">
        <f>'Headcount Plan'!I51</f>
        <v>84.324242012000568</v>
      </c>
      <c r="D51" s="48">
        <f>Assumptions!D15</f>
        <v>0.82</v>
      </c>
      <c r="E51" s="48">
        <f>MAX(0,MIN(0.95,D51+Assumptions!$B$6))</f>
        <v>0.82</v>
      </c>
      <c r="F51" s="49">
        <f>Assumptions!$B$21</f>
        <v>160</v>
      </c>
      <c r="G51" s="49">
        <f>Assumptions!E15</f>
        <v>2600</v>
      </c>
      <c r="H51" s="49">
        <f>G51*(1+Assumptions!$B$7)</f>
        <v>2730</v>
      </c>
      <c r="I51" s="50">
        <f t="shared" si="1"/>
        <v>30.202919706890317</v>
      </c>
      <c r="J51" s="17" t="s">
        <v>94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46">
        <v>46661</v>
      </c>
      <c r="B52" s="17" t="s">
        <v>41</v>
      </c>
      <c r="C52" s="47">
        <f>'Headcount Plan'!I52</f>
        <v>148.62534699789578</v>
      </c>
      <c r="D52" s="48">
        <f>Assumptions!D16</f>
        <v>0.76</v>
      </c>
      <c r="E52" s="48">
        <f>MAX(0,MIN(0.95,D52+Assumptions!$B$6))</f>
        <v>0.76</v>
      </c>
      <c r="F52" s="49">
        <f>Assumptions!$B$21</f>
        <v>160</v>
      </c>
      <c r="G52" s="49">
        <f>Assumptions!E16</f>
        <v>2100</v>
      </c>
      <c r="H52" s="49">
        <f>G52*(1+Assumptions!$B$7)</f>
        <v>2205</v>
      </c>
      <c r="I52" s="50">
        <f t="shared" si="1"/>
        <v>39.850617039851798</v>
      </c>
      <c r="J52" s="17" t="s">
        <v>94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46">
        <v>46661</v>
      </c>
      <c r="B53" s="17" t="s">
        <v>42</v>
      </c>
      <c r="C53" s="47">
        <f>'Headcount Plan'!I53</f>
        <v>124.78336425031665</v>
      </c>
      <c r="D53" s="48">
        <f>Assumptions!D17</f>
        <v>0.74</v>
      </c>
      <c r="E53" s="48">
        <f>MAX(0,MIN(0.95,D53+Assumptions!$B$6))</f>
        <v>0.74</v>
      </c>
      <c r="F53" s="49">
        <f>Assumptions!$B$21</f>
        <v>160</v>
      </c>
      <c r="G53" s="49">
        <f>Assumptions!E17</f>
        <v>1950</v>
      </c>
      <c r="H53" s="49">
        <f>G53*(1+Assumptions!$B$7)</f>
        <v>2047.5</v>
      </c>
      <c r="I53" s="50">
        <f t="shared" si="1"/>
        <v>30.250482295018763</v>
      </c>
      <c r="J53" s="17" t="s">
        <v>94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46">
        <v>46692</v>
      </c>
      <c r="B54" s="17" t="s">
        <v>38</v>
      </c>
      <c r="C54" s="47">
        <f>'Headcount Plan'!I54</f>
        <v>123.12818706418955</v>
      </c>
      <c r="D54" s="48">
        <f>Assumptions!D13</f>
        <v>0.78</v>
      </c>
      <c r="E54" s="48">
        <f>MAX(0,MIN(0.95,D54+Assumptions!$B$6))</f>
        <v>0.78</v>
      </c>
      <c r="F54" s="49">
        <f>Assumptions!$B$21</f>
        <v>160</v>
      </c>
      <c r="G54" s="49">
        <f>Assumptions!E13</f>
        <v>2250</v>
      </c>
      <c r="H54" s="49">
        <f>G54*(1+Assumptions!$B$7)</f>
        <v>2362.5</v>
      </c>
      <c r="I54" s="50">
        <f t="shared" si="1"/>
        <v>36.303114674005649</v>
      </c>
      <c r="J54" s="17" t="s">
        <v>94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46">
        <v>46692</v>
      </c>
      <c r="B55" s="17" t="s">
        <v>39</v>
      </c>
      <c r="C55" s="47">
        <f>'Headcount Plan'!I55</f>
        <v>108.73389101547444</v>
      </c>
      <c r="D55" s="48">
        <f>Assumptions!D14</f>
        <v>0.8</v>
      </c>
      <c r="E55" s="48">
        <f>MAX(0,MIN(0.95,D55+Assumptions!$B$6))</f>
        <v>0.8</v>
      </c>
      <c r="F55" s="49">
        <f>Assumptions!$B$21</f>
        <v>160</v>
      </c>
      <c r="G55" s="49">
        <f>Assumptions!E14</f>
        <v>2400</v>
      </c>
      <c r="H55" s="49">
        <f>G55*(1+Assumptions!$B$7)</f>
        <v>2520</v>
      </c>
      <c r="I55" s="50">
        <f t="shared" si="1"/>
        <v>35.073203885951436</v>
      </c>
      <c r="J55" s="17" t="s">
        <v>94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46">
        <v>46692</v>
      </c>
      <c r="B56" s="17" t="s">
        <v>40</v>
      </c>
      <c r="C56" s="47">
        <f>'Headcount Plan'!I56</f>
        <v>84.605322818707236</v>
      </c>
      <c r="D56" s="48">
        <f>Assumptions!D15</f>
        <v>0.82</v>
      </c>
      <c r="E56" s="48">
        <f>MAX(0,MIN(0.95,D56+Assumptions!$B$6))</f>
        <v>0.82</v>
      </c>
      <c r="F56" s="49">
        <f>Assumptions!$B$21</f>
        <v>160</v>
      </c>
      <c r="G56" s="49">
        <f>Assumptions!E15</f>
        <v>2600</v>
      </c>
      <c r="H56" s="49">
        <f>G56*(1+Assumptions!$B$7)</f>
        <v>2730</v>
      </c>
      <c r="I56" s="50">
        <f t="shared" si="1"/>
        <v>30.303596105913282</v>
      </c>
      <c r="J56" s="17" t="s">
        <v>94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46">
        <v>46692</v>
      </c>
      <c r="B57" s="17" t="s">
        <v>41</v>
      </c>
      <c r="C57" s="47">
        <f>'Headcount Plan'!I57</f>
        <v>149.12076482122208</v>
      </c>
      <c r="D57" s="48">
        <f>Assumptions!D16</f>
        <v>0.76</v>
      </c>
      <c r="E57" s="48">
        <f>MAX(0,MIN(0.95,D57+Assumptions!$B$6))</f>
        <v>0.76</v>
      </c>
      <c r="F57" s="49">
        <f>Assumptions!$B$21</f>
        <v>160</v>
      </c>
      <c r="G57" s="49">
        <f>Assumptions!E16</f>
        <v>2100</v>
      </c>
      <c r="H57" s="49">
        <f>G57*(1+Assumptions!$B$7)</f>
        <v>2205</v>
      </c>
      <c r="I57" s="50">
        <f t="shared" si="1"/>
        <v>39.983452429984631</v>
      </c>
      <c r="J57" s="17" t="s">
        <v>94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46">
        <v>46692</v>
      </c>
      <c r="B58" s="17" t="s">
        <v>42</v>
      </c>
      <c r="C58" s="47">
        <f>'Headcount Plan'!I58</f>
        <v>125.19930879781772</v>
      </c>
      <c r="D58" s="48">
        <f>Assumptions!D17</f>
        <v>0.74</v>
      </c>
      <c r="E58" s="48">
        <f>MAX(0,MIN(0.95,D58+Assumptions!$B$6))</f>
        <v>0.74</v>
      </c>
      <c r="F58" s="49">
        <f>Assumptions!$B$21</f>
        <v>160</v>
      </c>
      <c r="G58" s="49">
        <f>Assumptions!E17</f>
        <v>1950</v>
      </c>
      <c r="H58" s="49">
        <f>G58*(1+Assumptions!$B$7)</f>
        <v>2047.5</v>
      </c>
      <c r="I58" s="50">
        <f t="shared" si="1"/>
        <v>30.351317236002167</v>
      </c>
      <c r="J58" s="17" t="s">
        <v>94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46">
        <v>46722</v>
      </c>
      <c r="B59" s="17" t="s">
        <v>38</v>
      </c>
      <c r="C59" s="47">
        <f>'Headcount Plan'!I59</f>
        <v>123.53861435440352</v>
      </c>
      <c r="D59" s="48">
        <f>Assumptions!D13</f>
        <v>0.78</v>
      </c>
      <c r="E59" s="48">
        <f>MAX(0,MIN(0.95,D59+Assumptions!$B$6))</f>
        <v>0.78</v>
      </c>
      <c r="F59" s="49">
        <f>Assumptions!$B$21</f>
        <v>160</v>
      </c>
      <c r="G59" s="49">
        <f>Assumptions!E13</f>
        <v>2250</v>
      </c>
      <c r="H59" s="49">
        <f>G59*(1+Assumptions!$B$7)</f>
        <v>2362.5</v>
      </c>
      <c r="I59" s="50">
        <f t="shared" si="1"/>
        <v>36.424125056252336</v>
      </c>
      <c r="J59" s="17" t="s">
        <v>94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46">
        <v>46722</v>
      </c>
      <c r="B60" s="17" t="s">
        <v>39</v>
      </c>
      <c r="C60" s="47">
        <f>'Headcount Plan'!I60</f>
        <v>109.09633731885937</v>
      </c>
      <c r="D60" s="48">
        <f>Assumptions!D14</f>
        <v>0.8</v>
      </c>
      <c r="E60" s="48">
        <f>MAX(0,MIN(0.95,D60+Assumptions!$B$6))</f>
        <v>0.8</v>
      </c>
      <c r="F60" s="49">
        <f>Assumptions!$B$21</f>
        <v>160</v>
      </c>
      <c r="G60" s="49">
        <f>Assumptions!E14</f>
        <v>2400</v>
      </c>
      <c r="H60" s="49">
        <f>G60*(1+Assumptions!$B$7)</f>
        <v>2520</v>
      </c>
      <c r="I60" s="50">
        <f t="shared" si="1"/>
        <v>35.190114565571285</v>
      </c>
      <c r="J60" s="17" t="s">
        <v>94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46">
        <v>46722</v>
      </c>
      <c r="B61" s="17" t="s">
        <v>40</v>
      </c>
      <c r="C61" s="47">
        <f>'Headcount Plan'!I61</f>
        <v>84.887340561436261</v>
      </c>
      <c r="D61" s="48">
        <f>Assumptions!D15</f>
        <v>0.82</v>
      </c>
      <c r="E61" s="48">
        <f>MAX(0,MIN(0.95,D61+Assumptions!$B$6))</f>
        <v>0.82</v>
      </c>
      <c r="F61" s="49">
        <f>Assumptions!$B$21</f>
        <v>160</v>
      </c>
      <c r="G61" s="49">
        <f>Assumptions!E15</f>
        <v>2600</v>
      </c>
      <c r="H61" s="49">
        <f>G61*(1+Assumptions!$B$7)</f>
        <v>2730</v>
      </c>
      <c r="I61" s="50">
        <f t="shared" si="1"/>
        <v>30.404608092932996</v>
      </c>
      <c r="J61" s="17" t="s">
        <v>94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46">
        <v>46722</v>
      </c>
      <c r="B62" s="17" t="s">
        <v>41</v>
      </c>
      <c r="C62" s="47">
        <f>'Headcount Plan'!I62</f>
        <v>149.61783403729282</v>
      </c>
      <c r="D62" s="48">
        <f>Assumptions!D16</f>
        <v>0.76</v>
      </c>
      <c r="E62" s="48">
        <f>MAX(0,MIN(0.95,D62+Assumptions!$B$6))</f>
        <v>0.76</v>
      </c>
      <c r="F62" s="49">
        <f>Assumptions!$B$21</f>
        <v>160</v>
      </c>
      <c r="G62" s="49">
        <f>Assumptions!E16</f>
        <v>2100</v>
      </c>
      <c r="H62" s="49">
        <f>G62*(1+Assumptions!$B$7)</f>
        <v>2205</v>
      </c>
      <c r="I62" s="50">
        <f t="shared" si="1"/>
        <v>40.116730604751254</v>
      </c>
      <c r="J62" s="17" t="s">
        <v>94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46">
        <v>46722</v>
      </c>
      <c r="B63" s="17" t="s">
        <v>42</v>
      </c>
      <c r="C63" s="47">
        <f>'Headcount Plan'!I63</f>
        <v>125.6166398271438</v>
      </c>
      <c r="D63" s="48">
        <f>Assumptions!D17</f>
        <v>0.74</v>
      </c>
      <c r="E63" s="48">
        <f>MAX(0,MIN(0.95,D63+Assumptions!$B$6))</f>
        <v>0.74</v>
      </c>
      <c r="F63" s="49">
        <f>Assumptions!$B$21</f>
        <v>160</v>
      </c>
      <c r="G63" s="49">
        <f>Assumptions!E17</f>
        <v>1950</v>
      </c>
      <c r="H63" s="49">
        <f>G63*(1+Assumptions!$B$7)</f>
        <v>2047.5</v>
      </c>
      <c r="I63" s="50">
        <f t="shared" si="1"/>
        <v>30.452488293455506</v>
      </c>
      <c r="J63" s="17" t="s">
        <v>94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0"/>
  <sheetViews>
    <sheetView showGridLines="0" workbookViewId="0">
      <pane ySplit="3" topLeftCell="A4" activePane="bottomLeft" state="frozen"/>
      <selection pane="bottomLeft" sqref="A1:K1"/>
    </sheetView>
  </sheetViews>
  <sheetFormatPr defaultRowHeight="14.4"/>
  <cols>
    <col min="1" max="1" width="12" style="18" bestFit="1" customWidth="1"/>
    <col min="2" max="2" width="26" style="18" customWidth="1"/>
    <col min="3" max="3" width="9.09765625" style="18" customWidth="1"/>
    <col min="4" max="4" width="8.8984375" style="18" customWidth="1"/>
    <col min="5" max="5" width="6.19921875" style="18" customWidth="1"/>
    <col min="6" max="6" width="8.3984375" style="18" customWidth="1"/>
    <col min="7" max="7" width="8.8984375" style="18" customWidth="1"/>
    <col min="8" max="8" width="7.3984375" style="18" customWidth="1"/>
    <col min="9" max="9" width="8.296875" style="18" customWidth="1"/>
    <col min="10" max="10" width="17.59765625" style="18" customWidth="1"/>
    <col min="11" max="11" width="15.09765625" style="18" customWidth="1"/>
    <col min="12" max="16384" width="8.796875" style="18"/>
  </cols>
  <sheetData>
    <row r="1" spans="1:52" ht="24" customHeight="1">
      <c r="A1" s="43" t="s">
        <v>95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16</v>
      </c>
      <c r="B3" s="22" t="s">
        <v>19</v>
      </c>
      <c r="C3" s="22" t="s">
        <v>72</v>
      </c>
      <c r="D3" s="22" t="s">
        <v>96</v>
      </c>
      <c r="E3" s="22" t="s">
        <v>97</v>
      </c>
      <c r="F3" s="22" t="s">
        <v>98</v>
      </c>
      <c r="G3" s="22" t="s">
        <v>99</v>
      </c>
      <c r="H3" s="22" t="s">
        <v>73</v>
      </c>
      <c r="I3" s="22" t="s">
        <v>21</v>
      </c>
      <c r="J3" s="22" t="s">
        <v>100</v>
      </c>
      <c r="K3" s="22" t="s">
        <v>25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46">
        <v>46388</v>
      </c>
      <c r="B4" s="17" t="s">
        <v>38</v>
      </c>
      <c r="C4" s="47">
        <f>Assumptions!B13</f>
        <v>145</v>
      </c>
      <c r="D4" s="47">
        <f>C4*(Assumptions!$B$22+Assumptions!$B$10)/12</f>
        <v>1.6916666666666667</v>
      </c>
      <c r="E4" s="47">
        <f>C4*Assumptions!$B$22/12</f>
        <v>1.2083333333333333</v>
      </c>
      <c r="F4" s="50">
        <f t="shared" ref="F4:F35" si="0">C4+D4-E4</f>
        <v>145.48333333333332</v>
      </c>
      <c r="G4" s="50">
        <f>(C4+F4)/2</f>
        <v>145.24166666666667</v>
      </c>
      <c r="H4" s="48">
        <f>Assumptions!C13</f>
        <v>0.82</v>
      </c>
      <c r="I4" s="50">
        <f>G4*H4</f>
        <v>119.09816666666667</v>
      </c>
      <c r="J4" s="47">
        <f>Assumptions!F13*(1+Assumptions!$B$8)</f>
        <v>0.12190000000000001</v>
      </c>
      <c r="K4" s="50">
        <f t="shared" ref="K4:K35" si="1">G4*J4</f>
        <v>17.704959166666669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46">
        <v>46388</v>
      </c>
      <c r="B5" s="17" t="s">
        <v>39</v>
      </c>
      <c r="C5" s="47">
        <f>Assumptions!B14</f>
        <v>125</v>
      </c>
      <c r="D5" s="47">
        <f>C5*(Assumptions!$B$22+Assumptions!$B$10)/12</f>
        <v>1.4583333333333333</v>
      </c>
      <c r="E5" s="47">
        <f>C5*Assumptions!$B$22/12</f>
        <v>1.0416666666666667</v>
      </c>
      <c r="F5" s="50">
        <f t="shared" si="0"/>
        <v>125.41666666666666</v>
      </c>
      <c r="G5" s="50">
        <f t="shared" ref="G5:G35" si="2">(C5+F5)/2</f>
        <v>125.20833333333333</v>
      </c>
      <c r="H5" s="48">
        <f>Assumptions!C14</f>
        <v>0.84</v>
      </c>
      <c r="I5" s="50">
        <f t="shared" ref="I5:I35" si="3">G5*H5</f>
        <v>105.175</v>
      </c>
      <c r="J5" s="47">
        <f>Assumptions!F14*(1+Assumptions!$B$8)</f>
        <v>0.12720000000000001</v>
      </c>
      <c r="K5" s="50">
        <f t="shared" si="1"/>
        <v>15.926500000000001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46">
        <v>46388</v>
      </c>
      <c r="B6" s="17" t="s">
        <v>40</v>
      </c>
      <c r="C6" s="47">
        <f>Assumptions!B15</f>
        <v>95</v>
      </c>
      <c r="D6" s="47">
        <f>C6*(Assumptions!$B$22+Assumptions!$B$10)/12</f>
        <v>1.1083333333333334</v>
      </c>
      <c r="E6" s="47">
        <f>C6*Assumptions!$B$22/12</f>
        <v>0.79166666666666663</v>
      </c>
      <c r="F6" s="50">
        <f t="shared" si="0"/>
        <v>95.316666666666663</v>
      </c>
      <c r="G6" s="50">
        <f t="shared" si="2"/>
        <v>95.158333333333331</v>
      </c>
      <c r="H6" s="48">
        <f>Assumptions!C15</f>
        <v>0.86</v>
      </c>
      <c r="I6" s="50">
        <f t="shared" si="3"/>
        <v>81.836166666666671</v>
      </c>
      <c r="J6" s="47">
        <f>Assumptions!F15*(1+Assumptions!$B$8)</f>
        <v>0.13780000000000001</v>
      </c>
      <c r="K6" s="50">
        <f t="shared" si="1"/>
        <v>13.112818333333333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46">
        <v>46388</v>
      </c>
      <c r="B7" s="17" t="s">
        <v>41</v>
      </c>
      <c r="C7" s="47">
        <f>Assumptions!B16</f>
        <v>180</v>
      </c>
      <c r="D7" s="47">
        <f>C7*(Assumptions!$B$22+Assumptions!$B$10)/12</f>
        <v>2.1</v>
      </c>
      <c r="E7" s="47">
        <f>C7*Assumptions!$B$22/12</f>
        <v>1.5</v>
      </c>
      <c r="F7" s="50">
        <f t="shared" si="0"/>
        <v>180.6</v>
      </c>
      <c r="G7" s="50">
        <f t="shared" si="2"/>
        <v>180.3</v>
      </c>
      <c r="H7" s="48">
        <f>Assumptions!C16</f>
        <v>0.8</v>
      </c>
      <c r="I7" s="50">
        <f t="shared" si="3"/>
        <v>144.24</v>
      </c>
      <c r="J7" s="47">
        <f>Assumptions!F16*(1+Assumptions!$B$8)</f>
        <v>0.1113</v>
      </c>
      <c r="K7" s="50">
        <f t="shared" si="1"/>
        <v>20.06739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46">
        <v>46388</v>
      </c>
      <c r="B8" s="17" t="s">
        <v>42</v>
      </c>
      <c r="C8" s="47">
        <f>Assumptions!B17</f>
        <v>155</v>
      </c>
      <c r="D8" s="47">
        <f>C8*(Assumptions!$B$22+Assumptions!$B$10)/12</f>
        <v>1.8083333333333336</v>
      </c>
      <c r="E8" s="47">
        <f>C8*Assumptions!$B$22/12</f>
        <v>1.2916666666666667</v>
      </c>
      <c r="F8" s="50">
        <f t="shared" si="0"/>
        <v>155.51666666666668</v>
      </c>
      <c r="G8" s="50">
        <f t="shared" si="2"/>
        <v>155.25833333333333</v>
      </c>
      <c r="H8" s="48">
        <f>Assumptions!C17</f>
        <v>0.78</v>
      </c>
      <c r="I8" s="50">
        <f t="shared" si="3"/>
        <v>121.1015</v>
      </c>
      <c r="J8" s="47">
        <f>Assumptions!F17*(1+Assumptions!$B$8)</f>
        <v>0.10600000000000001</v>
      </c>
      <c r="K8" s="50">
        <f t="shared" si="1"/>
        <v>16.457383333333333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46">
        <v>46419</v>
      </c>
      <c r="B9" s="17" t="s">
        <v>38</v>
      </c>
      <c r="C9" s="50">
        <f>F4</f>
        <v>145.48333333333332</v>
      </c>
      <c r="D9" s="47">
        <f>C9*(Assumptions!$B$22+Assumptions!$B$10)/12</f>
        <v>1.6973055555555556</v>
      </c>
      <c r="E9" s="47">
        <f>C9*Assumptions!$B$22/12</f>
        <v>1.212361111111111</v>
      </c>
      <c r="F9" s="50">
        <f t="shared" si="0"/>
        <v>145.96827777777776</v>
      </c>
      <c r="G9" s="50">
        <f t="shared" si="2"/>
        <v>145.72580555555555</v>
      </c>
      <c r="H9" s="48">
        <f>Assumptions!C13</f>
        <v>0.82</v>
      </c>
      <c r="I9" s="50">
        <f t="shared" si="3"/>
        <v>119.49516055555554</v>
      </c>
      <c r="J9" s="47">
        <f>Assumptions!F13*(1+Assumptions!$B$8)</f>
        <v>0.12190000000000001</v>
      </c>
      <c r="K9" s="50">
        <f t="shared" si="1"/>
        <v>17.763975697222222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46">
        <v>46419</v>
      </c>
      <c r="B10" s="17" t="s">
        <v>39</v>
      </c>
      <c r="C10" s="50">
        <f t="shared" ref="C10:C40" si="4">F5</f>
        <v>125.41666666666666</v>
      </c>
      <c r="D10" s="47">
        <f>C10*(Assumptions!$B$22+Assumptions!$B$10)/12</f>
        <v>1.4631944444444445</v>
      </c>
      <c r="E10" s="47">
        <f>C10*Assumptions!$B$22/12</f>
        <v>1.0451388888888888</v>
      </c>
      <c r="F10" s="50">
        <f t="shared" si="0"/>
        <v>125.83472222222221</v>
      </c>
      <c r="G10" s="50">
        <f t="shared" si="2"/>
        <v>125.62569444444443</v>
      </c>
      <c r="H10" s="48">
        <f>Assumptions!C14</f>
        <v>0.84</v>
      </c>
      <c r="I10" s="50">
        <f t="shared" si="3"/>
        <v>105.52558333333332</v>
      </c>
      <c r="J10" s="47">
        <f>Assumptions!F14*(1+Assumptions!$B$8)</f>
        <v>0.12720000000000001</v>
      </c>
      <c r="K10" s="50">
        <f t="shared" si="1"/>
        <v>15.979588333333332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46">
        <v>46419</v>
      </c>
      <c r="B11" s="17" t="s">
        <v>40</v>
      </c>
      <c r="C11" s="50">
        <f t="shared" si="4"/>
        <v>95.316666666666663</v>
      </c>
      <c r="D11" s="47">
        <f>C11*(Assumptions!$B$22+Assumptions!$B$10)/12</f>
        <v>1.1120277777777778</v>
      </c>
      <c r="E11" s="47">
        <f>C11*Assumptions!$B$22/12</f>
        <v>0.79430555555555549</v>
      </c>
      <c r="F11" s="50">
        <f t="shared" si="0"/>
        <v>95.634388888888893</v>
      </c>
      <c r="G11" s="50">
        <f t="shared" si="2"/>
        <v>95.475527777777785</v>
      </c>
      <c r="H11" s="48">
        <f>Assumptions!C15</f>
        <v>0.86</v>
      </c>
      <c r="I11" s="50">
        <f t="shared" si="3"/>
        <v>82.108953888888891</v>
      </c>
      <c r="J11" s="47">
        <f>Assumptions!F15*(1+Assumptions!$B$8)</f>
        <v>0.13780000000000001</v>
      </c>
      <c r="K11" s="50">
        <f t="shared" si="1"/>
        <v>13.15652772777778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46">
        <v>46419</v>
      </c>
      <c r="B12" s="17" t="s">
        <v>41</v>
      </c>
      <c r="C12" s="50">
        <f t="shared" si="4"/>
        <v>180.6</v>
      </c>
      <c r="D12" s="47">
        <f>C12*(Assumptions!$B$22+Assumptions!$B$10)/12</f>
        <v>2.1070000000000002</v>
      </c>
      <c r="E12" s="47">
        <f>C12*Assumptions!$B$22/12</f>
        <v>1.5049999999999999</v>
      </c>
      <c r="F12" s="50">
        <f t="shared" si="0"/>
        <v>181.202</v>
      </c>
      <c r="G12" s="50">
        <f t="shared" si="2"/>
        <v>180.90100000000001</v>
      </c>
      <c r="H12" s="48">
        <f>Assumptions!C16</f>
        <v>0.8</v>
      </c>
      <c r="I12" s="50">
        <f t="shared" si="3"/>
        <v>144.72080000000003</v>
      </c>
      <c r="J12" s="47">
        <f>Assumptions!F16*(1+Assumptions!$B$8)</f>
        <v>0.1113</v>
      </c>
      <c r="K12" s="50">
        <f t="shared" si="1"/>
        <v>20.134281300000001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46">
        <v>46419</v>
      </c>
      <c r="B13" s="17" t="s">
        <v>42</v>
      </c>
      <c r="C13" s="50">
        <f t="shared" si="4"/>
        <v>155.51666666666668</v>
      </c>
      <c r="D13" s="47">
        <f>C13*(Assumptions!$B$22+Assumptions!$B$10)/12</f>
        <v>1.8143611111111113</v>
      </c>
      <c r="E13" s="47">
        <f>C13*Assumptions!$B$22/12</f>
        <v>1.2959722222222225</v>
      </c>
      <c r="F13" s="50">
        <f t="shared" si="0"/>
        <v>156.03505555555557</v>
      </c>
      <c r="G13" s="50">
        <f t="shared" si="2"/>
        <v>155.77586111111111</v>
      </c>
      <c r="H13" s="48">
        <f>Assumptions!C17</f>
        <v>0.78</v>
      </c>
      <c r="I13" s="50">
        <f t="shared" si="3"/>
        <v>121.50517166666667</v>
      </c>
      <c r="J13" s="47">
        <f>Assumptions!F17*(1+Assumptions!$B$8)</f>
        <v>0.10600000000000001</v>
      </c>
      <c r="K13" s="50">
        <f t="shared" si="1"/>
        <v>16.512241277777779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46">
        <v>46447</v>
      </c>
      <c r="B14" s="17" t="s">
        <v>38</v>
      </c>
      <c r="C14" s="50">
        <f t="shared" si="4"/>
        <v>145.96827777777776</v>
      </c>
      <c r="D14" s="47">
        <f>C14*(Assumptions!$B$22+Assumptions!$B$10)/12</f>
        <v>1.7029632407407407</v>
      </c>
      <c r="E14" s="47">
        <f>C14*Assumptions!$B$22/12</f>
        <v>1.2164023148148146</v>
      </c>
      <c r="F14" s="50">
        <f t="shared" si="0"/>
        <v>146.45483870370367</v>
      </c>
      <c r="G14" s="50">
        <f t="shared" si="2"/>
        <v>146.21155824074071</v>
      </c>
      <c r="H14" s="48">
        <f>Assumptions!C13</f>
        <v>0.82</v>
      </c>
      <c r="I14" s="50">
        <f t="shared" si="3"/>
        <v>119.89347775740738</v>
      </c>
      <c r="J14" s="47">
        <f>Assumptions!F13*(1+Assumptions!$B$8)</f>
        <v>0.12190000000000001</v>
      </c>
      <c r="K14" s="50">
        <f t="shared" si="1"/>
        <v>17.823188949546296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46">
        <v>46447</v>
      </c>
      <c r="B15" s="17" t="s">
        <v>39</v>
      </c>
      <c r="C15" s="50">
        <f t="shared" si="4"/>
        <v>125.83472222222221</v>
      </c>
      <c r="D15" s="47">
        <f>C15*(Assumptions!$B$22+Assumptions!$B$10)/12</f>
        <v>1.4680717592592591</v>
      </c>
      <c r="E15" s="47">
        <f>C15*Assumptions!$B$22/12</f>
        <v>1.0486226851851852</v>
      </c>
      <c r="F15" s="50">
        <f t="shared" si="0"/>
        <v>126.25417129629629</v>
      </c>
      <c r="G15" s="50">
        <f t="shared" si="2"/>
        <v>126.04444675925924</v>
      </c>
      <c r="H15" s="48">
        <f>Assumptions!C14</f>
        <v>0.84</v>
      </c>
      <c r="I15" s="50">
        <f t="shared" si="3"/>
        <v>105.87733527777776</v>
      </c>
      <c r="J15" s="47">
        <f>Assumptions!F14*(1+Assumptions!$B$8)</f>
        <v>0.12720000000000001</v>
      </c>
      <c r="K15" s="50">
        <f t="shared" si="1"/>
        <v>16.032853627777776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46">
        <v>46447</v>
      </c>
      <c r="B16" s="17" t="s">
        <v>40</v>
      </c>
      <c r="C16" s="50">
        <f t="shared" si="4"/>
        <v>95.634388888888893</v>
      </c>
      <c r="D16" s="47">
        <f>C16*(Assumptions!$B$22+Assumptions!$B$10)/12</f>
        <v>1.1157345370370371</v>
      </c>
      <c r="E16" s="47">
        <f>C16*Assumptions!$B$22/12</f>
        <v>0.79695324074074081</v>
      </c>
      <c r="F16" s="50">
        <f t="shared" si="0"/>
        <v>95.953170185185201</v>
      </c>
      <c r="G16" s="50">
        <f t="shared" si="2"/>
        <v>95.79377953703704</v>
      </c>
      <c r="H16" s="48">
        <f>Assumptions!C15</f>
        <v>0.86</v>
      </c>
      <c r="I16" s="50">
        <f t="shared" si="3"/>
        <v>82.382650401851848</v>
      </c>
      <c r="J16" s="47">
        <f>Assumptions!F15*(1+Assumptions!$B$8)</f>
        <v>0.13780000000000001</v>
      </c>
      <c r="K16" s="50">
        <f t="shared" si="1"/>
        <v>13.200382820203705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46">
        <v>46447</v>
      </c>
      <c r="B17" s="17" t="s">
        <v>41</v>
      </c>
      <c r="C17" s="50">
        <f t="shared" si="4"/>
        <v>181.202</v>
      </c>
      <c r="D17" s="47">
        <f>C17*(Assumptions!$B$22+Assumptions!$B$10)/12</f>
        <v>2.1140233333333334</v>
      </c>
      <c r="E17" s="47">
        <f>C17*Assumptions!$B$22/12</f>
        <v>1.5100166666666668</v>
      </c>
      <c r="F17" s="50">
        <f t="shared" si="0"/>
        <v>181.80600666666666</v>
      </c>
      <c r="G17" s="50">
        <f t="shared" si="2"/>
        <v>181.50400333333334</v>
      </c>
      <c r="H17" s="48">
        <f>Assumptions!C16</f>
        <v>0.8</v>
      </c>
      <c r="I17" s="50">
        <f t="shared" si="3"/>
        <v>145.20320266666667</v>
      </c>
      <c r="J17" s="47">
        <f>Assumptions!F16*(1+Assumptions!$B$8)</f>
        <v>0.1113</v>
      </c>
      <c r="K17" s="50">
        <f t="shared" si="1"/>
        <v>20.201395570999999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46">
        <v>46447</v>
      </c>
      <c r="B18" s="17" t="s">
        <v>42</v>
      </c>
      <c r="C18" s="50">
        <f t="shared" si="4"/>
        <v>156.03505555555557</v>
      </c>
      <c r="D18" s="47">
        <f>C18*(Assumptions!$B$22+Assumptions!$B$10)/12</f>
        <v>1.8204089814814817</v>
      </c>
      <c r="E18" s="47">
        <f>C18*Assumptions!$B$22/12</f>
        <v>1.3002921296296297</v>
      </c>
      <c r="F18" s="50">
        <f t="shared" si="0"/>
        <v>156.55517240740741</v>
      </c>
      <c r="G18" s="50">
        <f t="shared" si="2"/>
        <v>156.29511398148151</v>
      </c>
      <c r="H18" s="48">
        <f>Assumptions!C17</f>
        <v>0.78</v>
      </c>
      <c r="I18" s="50">
        <f t="shared" si="3"/>
        <v>121.91018890555559</v>
      </c>
      <c r="J18" s="47">
        <f>Assumptions!F17*(1+Assumptions!$B$8)</f>
        <v>0.10600000000000001</v>
      </c>
      <c r="K18" s="50">
        <f t="shared" si="1"/>
        <v>16.567282082037043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46">
        <v>46478</v>
      </c>
      <c r="B19" s="17" t="s">
        <v>38</v>
      </c>
      <c r="C19" s="50">
        <f t="shared" si="4"/>
        <v>146.45483870370367</v>
      </c>
      <c r="D19" s="47">
        <f>C19*(Assumptions!$B$22+Assumptions!$B$10)/12</f>
        <v>1.7086397848765431</v>
      </c>
      <c r="E19" s="47">
        <f>C19*Assumptions!$B$22/12</f>
        <v>1.2204569891975308</v>
      </c>
      <c r="F19" s="50">
        <f t="shared" si="0"/>
        <v>146.94302149938267</v>
      </c>
      <c r="G19" s="50">
        <f t="shared" si="2"/>
        <v>146.69893010154317</v>
      </c>
      <c r="H19" s="48">
        <f>Assumptions!C13</f>
        <v>0.82</v>
      </c>
      <c r="I19" s="50">
        <f t="shared" si="3"/>
        <v>120.29312268326539</v>
      </c>
      <c r="J19" s="47">
        <f>Assumptions!F13*(1+Assumptions!$B$8)</f>
        <v>0.12190000000000001</v>
      </c>
      <c r="K19" s="50">
        <f t="shared" si="1"/>
        <v>17.882599579378113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46">
        <v>46478</v>
      </c>
      <c r="B20" s="17" t="s">
        <v>39</v>
      </c>
      <c r="C20" s="50">
        <f t="shared" si="4"/>
        <v>126.25417129629629</v>
      </c>
      <c r="D20" s="47">
        <f>C20*(Assumptions!$B$22+Assumptions!$B$10)/12</f>
        <v>1.4729653317901237</v>
      </c>
      <c r="E20" s="47">
        <f>C20*Assumptions!$B$22/12</f>
        <v>1.0521180941358026</v>
      </c>
      <c r="F20" s="50">
        <f t="shared" si="0"/>
        <v>126.67501853395061</v>
      </c>
      <c r="G20" s="50">
        <f t="shared" si="2"/>
        <v>126.46459491512346</v>
      </c>
      <c r="H20" s="48">
        <f>Assumptions!C14</f>
        <v>0.84</v>
      </c>
      <c r="I20" s="50">
        <f t="shared" si="3"/>
        <v>106.2302597287037</v>
      </c>
      <c r="J20" s="47">
        <f>Assumptions!F14*(1+Assumptions!$B$8)</f>
        <v>0.12720000000000001</v>
      </c>
      <c r="K20" s="50">
        <f t="shared" si="1"/>
        <v>16.086296473203703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46">
        <v>46478</v>
      </c>
      <c r="B21" s="17" t="s">
        <v>40</v>
      </c>
      <c r="C21" s="50">
        <f t="shared" si="4"/>
        <v>95.953170185185201</v>
      </c>
      <c r="D21" s="47">
        <f>C21*(Assumptions!$B$22+Assumptions!$B$10)/12</f>
        <v>1.1194536521604941</v>
      </c>
      <c r="E21" s="47">
        <f>C21*Assumptions!$B$22/12</f>
        <v>0.79960975154321012</v>
      </c>
      <c r="F21" s="50">
        <f t="shared" si="0"/>
        <v>96.273014085802473</v>
      </c>
      <c r="G21" s="50">
        <f t="shared" si="2"/>
        <v>96.113092135493844</v>
      </c>
      <c r="H21" s="48">
        <f>Assumptions!C15</f>
        <v>0.86</v>
      </c>
      <c r="I21" s="50">
        <f t="shared" si="3"/>
        <v>82.657259236524709</v>
      </c>
      <c r="J21" s="47">
        <f>Assumptions!F15*(1+Assumptions!$B$8)</f>
        <v>0.13780000000000001</v>
      </c>
      <c r="K21" s="50">
        <f t="shared" si="1"/>
        <v>13.244384096271052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46">
        <v>46478</v>
      </c>
      <c r="B22" s="17" t="s">
        <v>41</v>
      </c>
      <c r="C22" s="50">
        <f t="shared" si="4"/>
        <v>181.80600666666666</v>
      </c>
      <c r="D22" s="47">
        <f>C22*(Assumptions!$B$22+Assumptions!$B$10)/12</f>
        <v>2.121070077777778</v>
      </c>
      <c r="E22" s="47">
        <f>C22*Assumptions!$B$22/12</f>
        <v>1.5150500555555555</v>
      </c>
      <c r="F22" s="50">
        <f t="shared" si="0"/>
        <v>182.41202668888889</v>
      </c>
      <c r="G22" s="50">
        <f t="shared" si="2"/>
        <v>182.10901667777779</v>
      </c>
      <c r="H22" s="48">
        <f>Assumptions!C16</f>
        <v>0.8</v>
      </c>
      <c r="I22" s="50">
        <f t="shared" si="3"/>
        <v>145.68721334222224</v>
      </c>
      <c r="J22" s="47">
        <f>Assumptions!F16*(1+Assumptions!$B$8)</f>
        <v>0.1113</v>
      </c>
      <c r="K22" s="50">
        <f t="shared" si="1"/>
        <v>20.268733556236668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46">
        <v>46478</v>
      </c>
      <c r="B23" s="17" t="s">
        <v>42</v>
      </c>
      <c r="C23" s="50">
        <f t="shared" si="4"/>
        <v>156.55517240740741</v>
      </c>
      <c r="D23" s="47">
        <f>C23*(Assumptions!$B$22+Assumptions!$B$10)/12</f>
        <v>1.8264770114197535</v>
      </c>
      <c r="E23" s="47">
        <f>C23*Assumptions!$B$22/12</f>
        <v>1.3046264367283953</v>
      </c>
      <c r="F23" s="50">
        <f t="shared" si="0"/>
        <v>157.07702298209875</v>
      </c>
      <c r="G23" s="50">
        <f t="shared" si="2"/>
        <v>156.81609769475307</v>
      </c>
      <c r="H23" s="48">
        <f>Assumptions!C17</f>
        <v>0.78</v>
      </c>
      <c r="I23" s="50">
        <f t="shared" si="3"/>
        <v>122.3165562019074</v>
      </c>
      <c r="J23" s="47">
        <f>Assumptions!F17*(1+Assumptions!$B$8)</f>
        <v>0.10600000000000001</v>
      </c>
      <c r="K23" s="50">
        <f t="shared" si="1"/>
        <v>16.622506355643829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46">
        <v>46508</v>
      </c>
      <c r="B24" s="17" t="s">
        <v>38</v>
      </c>
      <c r="C24" s="50">
        <f t="shared" si="4"/>
        <v>146.94302149938267</v>
      </c>
      <c r="D24" s="47">
        <f>C24*(Assumptions!$B$22+Assumptions!$B$10)/12</f>
        <v>1.7143352508261314</v>
      </c>
      <c r="E24" s="47">
        <f>C24*Assumptions!$B$22/12</f>
        <v>1.2245251791615221</v>
      </c>
      <c r="F24" s="50">
        <f t="shared" si="0"/>
        <v>147.43283157104727</v>
      </c>
      <c r="G24" s="50">
        <f t="shared" si="2"/>
        <v>147.18792653521496</v>
      </c>
      <c r="H24" s="48">
        <f>Assumptions!C13</f>
        <v>0.82</v>
      </c>
      <c r="I24" s="50">
        <f t="shared" si="3"/>
        <v>120.69409975887626</v>
      </c>
      <c r="J24" s="47">
        <f>Assumptions!F13*(1+Assumptions!$B$8)</f>
        <v>0.12190000000000001</v>
      </c>
      <c r="K24" s="50">
        <f t="shared" si="1"/>
        <v>17.942208244642703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46">
        <v>46508</v>
      </c>
      <c r="B25" s="17" t="s">
        <v>39</v>
      </c>
      <c r="C25" s="50">
        <f t="shared" si="4"/>
        <v>126.67501853395061</v>
      </c>
      <c r="D25" s="47">
        <f>C25*(Assumptions!$B$22+Assumptions!$B$10)/12</f>
        <v>1.4778752162294237</v>
      </c>
      <c r="E25" s="47">
        <f>C25*Assumptions!$B$22/12</f>
        <v>1.0556251544495885</v>
      </c>
      <c r="F25" s="50">
        <f t="shared" si="0"/>
        <v>127.09726859573044</v>
      </c>
      <c r="G25" s="50">
        <f t="shared" si="2"/>
        <v>126.88614356484052</v>
      </c>
      <c r="H25" s="48">
        <f>Assumptions!C14</f>
        <v>0.84</v>
      </c>
      <c r="I25" s="50">
        <f t="shared" si="3"/>
        <v>106.58436059446603</v>
      </c>
      <c r="J25" s="47">
        <f>Assumptions!F14*(1+Assumptions!$B$8)</f>
        <v>0.12720000000000001</v>
      </c>
      <c r="K25" s="50">
        <f t="shared" si="1"/>
        <v>16.139917461447716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46">
        <v>46508</v>
      </c>
      <c r="B26" s="17" t="s">
        <v>40</v>
      </c>
      <c r="C26" s="50">
        <f t="shared" si="4"/>
        <v>96.273014085802473</v>
      </c>
      <c r="D26" s="47">
        <f>C26*(Assumptions!$B$22+Assumptions!$B$10)/12</f>
        <v>1.1231851643343622</v>
      </c>
      <c r="E26" s="47">
        <f>C26*Assumptions!$B$22/12</f>
        <v>0.80227511738168733</v>
      </c>
      <c r="F26" s="50">
        <f t="shared" si="0"/>
        <v>96.593924132755149</v>
      </c>
      <c r="G26" s="50">
        <f t="shared" si="2"/>
        <v>96.433469109278803</v>
      </c>
      <c r="H26" s="48">
        <f>Assumptions!C15</f>
        <v>0.86</v>
      </c>
      <c r="I26" s="50">
        <f t="shared" si="3"/>
        <v>82.932783433979765</v>
      </c>
      <c r="J26" s="47">
        <f>Assumptions!F15*(1+Assumptions!$B$8)</f>
        <v>0.13780000000000001</v>
      </c>
      <c r="K26" s="50">
        <f t="shared" si="1"/>
        <v>13.28853204325862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46">
        <v>46508</v>
      </c>
      <c r="B27" s="17" t="s">
        <v>41</v>
      </c>
      <c r="C27" s="50">
        <f t="shared" si="4"/>
        <v>182.41202668888889</v>
      </c>
      <c r="D27" s="47">
        <f>C27*(Assumptions!$B$22+Assumptions!$B$10)/12</f>
        <v>2.1281403113703705</v>
      </c>
      <c r="E27" s="47">
        <f>C27*Assumptions!$B$22/12</f>
        <v>1.5201002224074074</v>
      </c>
      <c r="F27" s="50">
        <f t="shared" si="0"/>
        <v>183.02006677785187</v>
      </c>
      <c r="G27" s="50">
        <f t="shared" si="2"/>
        <v>182.71604673337038</v>
      </c>
      <c r="H27" s="48">
        <f>Assumptions!C16</f>
        <v>0.8</v>
      </c>
      <c r="I27" s="50">
        <f t="shared" si="3"/>
        <v>146.1728373866963</v>
      </c>
      <c r="J27" s="47">
        <f>Assumptions!F16*(1+Assumptions!$B$8)</f>
        <v>0.1113</v>
      </c>
      <c r="K27" s="50">
        <f t="shared" si="1"/>
        <v>20.336296001424124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46">
        <v>46508</v>
      </c>
      <c r="B28" s="17" t="s">
        <v>42</v>
      </c>
      <c r="C28" s="50">
        <f t="shared" si="4"/>
        <v>157.07702298209875</v>
      </c>
      <c r="D28" s="47">
        <f>C28*(Assumptions!$B$22+Assumptions!$B$10)/12</f>
        <v>1.8325652681244857</v>
      </c>
      <c r="E28" s="47">
        <f>C28*Assumptions!$B$22/12</f>
        <v>1.3089751915174896</v>
      </c>
      <c r="F28" s="50">
        <f t="shared" si="0"/>
        <v>157.60061305870576</v>
      </c>
      <c r="G28" s="50">
        <f t="shared" si="2"/>
        <v>157.33881802040224</v>
      </c>
      <c r="H28" s="48">
        <f>Assumptions!C17</f>
        <v>0.78</v>
      </c>
      <c r="I28" s="50">
        <f t="shared" si="3"/>
        <v>122.72427805591376</v>
      </c>
      <c r="J28" s="47">
        <f>Assumptions!F17*(1+Assumptions!$B$8)</f>
        <v>0.10600000000000001</v>
      </c>
      <c r="K28" s="50">
        <f t="shared" si="1"/>
        <v>16.677914710162639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46">
        <v>46539</v>
      </c>
      <c r="B29" s="17" t="s">
        <v>38</v>
      </c>
      <c r="C29" s="50">
        <f t="shared" si="4"/>
        <v>147.43283157104727</v>
      </c>
      <c r="D29" s="47">
        <f>C29*(Assumptions!$B$22+Assumptions!$B$10)/12</f>
        <v>1.7200497016622185</v>
      </c>
      <c r="E29" s="47">
        <f>C29*Assumptions!$B$22/12</f>
        <v>1.2286069297587272</v>
      </c>
      <c r="F29" s="50">
        <f t="shared" si="0"/>
        <v>147.92427434295075</v>
      </c>
      <c r="G29" s="50">
        <f t="shared" si="2"/>
        <v>147.678552956999</v>
      </c>
      <c r="H29" s="48">
        <f>Assumptions!C13</f>
        <v>0.82</v>
      </c>
      <c r="I29" s="50">
        <f t="shared" si="3"/>
        <v>121.09641342473917</v>
      </c>
      <c r="J29" s="47">
        <f>Assumptions!F13*(1+Assumptions!$B$8)</f>
        <v>0.12190000000000001</v>
      </c>
      <c r="K29" s="50">
        <f t="shared" si="1"/>
        <v>18.00201560545818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46">
        <v>46539</v>
      </c>
      <c r="B30" s="17" t="s">
        <v>39</v>
      </c>
      <c r="C30" s="50">
        <f t="shared" si="4"/>
        <v>127.09726859573044</v>
      </c>
      <c r="D30" s="47">
        <f>C30*(Assumptions!$B$22+Assumptions!$B$10)/12</f>
        <v>1.4828014669501888</v>
      </c>
      <c r="E30" s="47">
        <f>C30*Assumptions!$B$22/12</f>
        <v>1.0591439049644205</v>
      </c>
      <c r="F30" s="50">
        <f t="shared" si="0"/>
        <v>127.5209261577162</v>
      </c>
      <c r="G30" s="50">
        <f t="shared" si="2"/>
        <v>127.30909737672332</v>
      </c>
      <c r="H30" s="48">
        <f>Assumptions!C14</f>
        <v>0.84</v>
      </c>
      <c r="I30" s="50">
        <f t="shared" si="3"/>
        <v>106.93964179644757</v>
      </c>
      <c r="J30" s="47">
        <f>Assumptions!F14*(1+Assumptions!$B$8)</f>
        <v>0.12720000000000001</v>
      </c>
      <c r="K30" s="50">
        <f t="shared" si="1"/>
        <v>16.193717186319205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46">
        <v>46539</v>
      </c>
      <c r="B31" s="17" t="s">
        <v>40</v>
      </c>
      <c r="C31" s="50">
        <f t="shared" si="4"/>
        <v>96.593924132755149</v>
      </c>
      <c r="D31" s="47">
        <f>C31*(Assumptions!$B$22+Assumptions!$B$10)/12</f>
        <v>1.1269291148821436</v>
      </c>
      <c r="E31" s="47">
        <f>C31*Assumptions!$B$22/12</f>
        <v>0.80494936777295967</v>
      </c>
      <c r="F31" s="50">
        <f t="shared" si="0"/>
        <v>96.915903879864331</v>
      </c>
      <c r="G31" s="50">
        <f t="shared" si="2"/>
        <v>96.754914006309747</v>
      </c>
      <c r="H31" s="48">
        <f>Assumptions!C15</f>
        <v>0.86</v>
      </c>
      <c r="I31" s="50">
        <f t="shared" si="3"/>
        <v>83.209226045426377</v>
      </c>
      <c r="J31" s="47">
        <f>Assumptions!F15*(1+Assumptions!$B$8)</f>
        <v>0.13780000000000001</v>
      </c>
      <c r="K31" s="50">
        <f t="shared" si="1"/>
        <v>13.332827150069484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46">
        <v>46539</v>
      </c>
      <c r="B32" s="17" t="s">
        <v>41</v>
      </c>
      <c r="C32" s="50">
        <f t="shared" si="4"/>
        <v>183.02006677785187</v>
      </c>
      <c r="D32" s="47">
        <f>C32*(Assumptions!$B$22+Assumptions!$B$10)/12</f>
        <v>2.1352341124082721</v>
      </c>
      <c r="E32" s="47">
        <f>C32*Assumptions!$B$22/12</f>
        <v>1.5251672231487656</v>
      </c>
      <c r="F32" s="50">
        <f t="shared" si="0"/>
        <v>183.63013366711138</v>
      </c>
      <c r="G32" s="50">
        <f t="shared" si="2"/>
        <v>183.32510022248164</v>
      </c>
      <c r="H32" s="48">
        <f>Assumptions!C16</f>
        <v>0.8</v>
      </c>
      <c r="I32" s="50">
        <f t="shared" si="3"/>
        <v>146.66008017798532</v>
      </c>
      <c r="J32" s="47">
        <f>Assumptions!F16*(1+Assumptions!$B$8)</f>
        <v>0.1113</v>
      </c>
      <c r="K32" s="50">
        <f t="shared" si="1"/>
        <v>20.404083654762207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46">
        <v>46539</v>
      </c>
      <c r="B33" s="17" t="s">
        <v>42</v>
      </c>
      <c r="C33" s="50">
        <f t="shared" si="4"/>
        <v>157.60061305870576</v>
      </c>
      <c r="D33" s="47">
        <f>C33*(Assumptions!$B$22+Assumptions!$B$10)/12</f>
        <v>1.8386738190182339</v>
      </c>
      <c r="E33" s="47">
        <f>C33*Assumptions!$B$22/12</f>
        <v>1.3133384421558814</v>
      </c>
      <c r="F33" s="50">
        <f t="shared" si="0"/>
        <v>158.12594843556812</v>
      </c>
      <c r="G33" s="50">
        <f t="shared" si="2"/>
        <v>157.86328074713694</v>
      </c>
      <c r="H33" s="48">
        <f>Assumptions!C17</f>
        <v>0.78</v>
      </c>
      <c r="I33" s="50">
        <f t="shared" si="3"/>
        <v>123.13335898276682</v>
      </c>
      <c r="J33" s="47">
        <f>Assumptions!F17*(1+Assumptions!$B$8)</f>
        <v>0.10600000000000001</v>
      </c>
      <c r="K33" s="50">
        <f t="shared" si="1"/>
        <v>16.733507759196517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46">
        <v>46569</v>
      </c>
      <c r="B34" s="17" t="s">
        <v>38</v>
      </c>
      <c r="C34" s="50">
        <f t="shared" si="4"/>
        <v>147.92427434295075</v>
      </c>
      <c r="D34" s="47">
        <f>C34*(Assumptions!$B$22+Assumptions!$B$10)/12</f>
        <v>1.7257832006677589</v>
      </c>
      <c r="E34" s="47">
        <f>C34*Assumptions!$B$22/12</f>
        <v>1.2327022861912564</v>
      </c>
      <c r="F34" s="50">
        <f t="shared" si="0"/>
        <v>148.41735525742726</v>
      </c>
      <c r="G34" s="50">
        <f t="shared" si="2"/>
        <v>148.17081480018902</v>
      </c>
      <c r="H34" s="48">
        <f>Assumptions!C13</f>
        <v>0.82</v>
      </c>
      <c r="I34" s="50">
        <f t="shared" si="3"/>
        <v>121.50006813615499</v>
      </c>
      <c r="J34" s="47">
        <f>Assumptions!F13*(1+Assumptions!$B$8)</f>
        <v>0.12190000000000001</v>
      </c>
      <c r="K34" s="50">
        <f t="shared" si="1"/>
        <v>18.062022324143044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46">
        <v>46569</v>
      </c>
      <c r="B35" s="17" t="s">
        <v>39</v>
      </c>
      <c r="C35" s="50">
        <f t="shared" si="4"/>
        <v>127.5209261577162</v>
      </c>
      <c r="D35" s="47">
        <f>C35*(Assumptions!$B$22+Assumptions!$B$10)/12</f>
        <v>1.4877441385066892</v>
      </c>
      <c r="E35" s="47">
        <f>C35*Assumptions!$B$22/12</f>
        <v>1.0626743846476352</v>
      </c>
      <c r="F35" s="50">
        <f t="shared" si="0"/>
        <v>127.94599591157527</v>
      </c>
      <c r="G35" s="50">
        <f t="shared" si="2"/>
        <v>127.73346103464573</v>
      </c>
      <c r="H35" s="48">
        <f>Assumptions!C14</f>
        <v>0.84</v>
      </c>
      <c r="I35" s="50">
        <f t="shared" si="3"/>
        <v>107.29610726910241</v>
      </c>
      <c r="J35" s="47">
        <f>Assumptions!F14*(1+Assumptions!$B$8)</f>
        <v>0.12720000000000001</v>
      </c>
      <c r="K35" s="50">
        <f t="shared" si="1"/>
        <v>16.247696243606939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46">
        <v>46569</v>
      </c>
      <c r="B36" s="17" t="s">
        <v>40</v>
      </c>
      <c r="C36" s="50">
        <f t="shared" si="4"/>
        <v>96.915903879864331</v>
      </c>
      <c r="D36" s="47">
        <f>C36*(Assumptions!$B$22+Assumptions!$B$10)/12</f>
        <v>1.1306855452650839</v>
      </c>
      <c r="E36" s="47">
        <f>C36*Assumptions!$B$22/12</f>
        <v>0.80763253233220278</v>
      </c>
      <c r="F36" s="50">
        <f t="shared" ref="F36:F63" si="5">C36+D36-E36</f>
        <v>97.238956892797205</v>
      </c>
      <c r="G36" s="50">
        <f t="shared" ref="G36:G63" si="6">(C36+F36)/2</f>
        <v>97.077430386330775</v>
      </c>
      <c r="H36" s="48">
        <f>Assumptions!C15</f>
        <v>0.86</v>
      </c>
      <c r="I36" s="50">
        <f t="shared" ref="I36:I63" si="7">G36*H36</f>
        <v>83.486590132244459</v>
      </c>
      <c r="J36" s="47">
        <f>Assumptions!F15*(1+Assumptions!$B$8)</f>
        <v>0.13780000000000001</v>
      </c>
      <c r="K36" s="50">
        <f t="shared" ref="K36:K63" si="8">G36*J36</f>
        <v>13.377269907236382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46">
        <v>46569</v>
      </c>
      <c r="B37" s="17" t="s">
        <v>41</v>
      </c>
      <c r="C37" s="50">
        <f t="shared" si="4"/>
        <v>183.63013366711138</v>
      </c>
      <c r="D37" s="47">
        <f>C37*(Assumptions!$B$22+Assumptions!$B$10)/12</f>
        <v>2.142351559449633</v>
      </c>
      <c r="E37" s="47">
        <f>C37*Assumptions!$B$22/12</f>
        <v>1.5302511138925949</v>
      </c>
      <c r="F37" s="50">
        <f t="shared" si="5"/>
        <v>184.2422341126684</v>
      </c>
      <c r="G37" s="50">
        <f t="shared" si="6"/>
        <v>183.93618388988989</v>
      </c>
      <c r="H37" s="48">
        <f>Assumptions!C16</f>
        <v>0.8</v>
      </c>
      <c r="I37" s="50">
        <f t="shared" si="7"/>
        <v>147.14894711191192</v>
      </c>
      <c r="J37" s="47">
        <f>Assumptions!F16*(1+Assumptions!$B$8)</f>
        <v>0.1113</v>
      </c>
      <c r="K37" s="50">
        <f t="shared" si="8"/>
        <v>20.472097266944743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46">
        <v>46569</v>
      </c>
      <c r="B38" s="17" t="s">
        <v>42</v>
      </c>
      <c r="C38" s="50">
        <f t="shared" si="4"/>
        <v>158.12594843556812</v>
      </c>
      <c r="D38" s="47">
        <f>C38*(Assumptions!$B$22+Assumptions!$B$10)/12</f>
        <v>1.8448027317482951</v>
      </c>
      <c r="E38" s="47">
        <f>C38*Assumptions!$B$22/12</f>
        <v>1.3177162369630677</v>
      </c>
      <c r="F38" s="50">
        <f t="shared" si="5"/>
        <v>158.65303493035336</v>
      </c>
      <c r="G38" s="50">
        <f t="shared" si="6"/>
        <v>158.38949168296074</v>
      </c>
      <c r="H38" s="48">
        <f>Assumptions!C17</f>
        <v>0.78</v>
      </c>
      <c r="I38" s="50">
        <f t="shared" si="7"/>
        <v>123.54380351270937</v>
      </c>
      <c r="J38" s="47">
        <f>Assumptions!F17*(1+Assumptions!$B$8)</f>
        <v>0.10600000000000001</v>
      </c>
      <c r="K38" s="50">
        <f t="shared" si="8"/>
        <v>16.789286118393839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46">
        <v>46600</v>
      </c>
      <c r="B39" s="17" t="s">
        <v>38</v>
      </c>
      <c r="C39" s="50">
        <f t="shared" si="4"/>
        <v>148.41735525742726</v>
      </c>
      <c r="D39" s="47">
        <f>C39*(Assumptions!$B$22+Assumptions!$B$10)/12</f>
        <v>1.7315358113366515</v>
      </c>
      <c r="E39" s="47">
        <f>C39*Assumptions!$B$22/12</f>
        <v>1.236811293811894</v>
      </c>
      <c r="F39" s="50">
        <f t="shared" si="5"/>
        <v>148.91207977495202</v>
      </c>
      <c r="G39" s="50">
        <f t="shared" si="6"/>
        <v>148.66471751618963</v>
      </c>
      <c r="H39" s="48">
        <f>Assumptions!C13</f>
        <v>0.82</v>
      </c>
      <c r="I39" s="50">
        <f t="shared" si="7"/>
        <v>121.90506836327549</v>
      </c>
      <c r="J39" s="47">
        <f>Assumptions!F13*(1+Assumptions!$B$8)</f>
        <v>0.12190000000000001</v>
      </c>
      <c r="K39" s="50">
        <f t="shared" si="8"/>
        <v>18.122229065223518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46">
        <v>46600</v>
      </c>
      <c r="B40" s="17" t="s">
        <v>39</v>
      </c>
      <c r="C40" s="50">
        <f t="shared" si="4"/>
        <v>127.94599591157527</v>
      </c>
      <c r="D40" s="47">
        <f>C40*(Assumptions!$B$22+Assumptions!$B$10)/12</f>
        <v>1.4927032856350451</v>
      </c>
      <c r="E40" s="47">
        <f>C40*Assumptions!$B$22/12</f>
        <v>1.0662166325964606</v>
      </c>
      <c r="F40" s="50">
        <f t="shared" si="5"/>
        <v>128.37248256461388</v>
      </c>
      <c r="G40" s="50">
        <f t="shared" si="6"/>
        <v>128.15923923809459</v>
      </c>
      <c r="H40" s="48">
        <f>Assumptions!C14</f>
        <v>0.84</v>
      </c>
      <c r="I40" s="50">
        <f t="shared" si="7"/>
        <v>107.65376095999945</v>
      </c>
      <c r="J40" s="47">
        <f>Assumptions!F14*(1+Assumptions!$B$8)</f>
        <v>0.12720000000000001</v>
      </c>
      <c r="K40" s="50">
        <f t="shared" si="8"/>
        <v>16.301855231085632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46">
        <v>46600</v>
      </c>
      <c r="B41" s="17" t="s">
        <v>40</v>
      </c>
      <c r="C41" s="50">
        <f t="shared" ref="C41:C63" si="9">F36</f>
        <v>97.238956892797205</v>
      </c>
      <c r="D41" s="47">
        <f>C41*(Assumptions!$B$22+Assumptions!$B$10)/12</f>
        <v>1.1344544970826342</v>
      </c>
      <c r="E41" s="47">
        <f>C41*Assumptions!$B$22/12</f>
        <v>0.81032464077331012</v>
      </c>
      <c r="F41" s="50">
        <f t="shared" si="5"/>
        <v>97.563086749106517</v>
      </c>
      <c r="G41" s="50">
        <f t="shared" si="6"/>
        <v>97.401021820951854</v>
      </c>
      <c r="H41" s="48">
        <f>Assumptions!C15</f>
        <v>0.86</v>
      </c>
      <c r="I41" s="50">
        <f t="shared" si="7"/>
        <v>83.764878766018597</v>
      </c>
      <c r="J41" s="47">
        <f>Assumptions!F15*(1+Assumptions!$B$8)</f>
        <v>0.13780000000000001</v>
      </c>
      <c r="K41" s="50">
        <f t="shared" si="8"/>
        <v>13.421860806927166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46">
        <v>46600</v>
      </c>
      <c r="B42" s="17" t="s">
        <v>41</v>
      </c>
      <c r="C42" s="50">
        <f t="shared" si="9"/>
        <v>184.2422341126684</v>
      </c>
      <c r="D42" s="47">
        <f>C42*(Assumptions!$B$22+Assumptions!$B$10)/12</f>
        <v>2.1494927313144649</v>
      </c>
      <c r="E42" s="47">
        <f>C42*Assumptions!$B$22/12</f>
        <v>1.5353519509389033</v>
      </c>
      <c r="F42" s="50">
        <f t="shared" si="5"/>
        <v>184.85637489304395</v>
      </c>
      <c r="G42" s="50">
        <f t="shared" si="6"/>
        <v>184.54930450285616</v>
      </c>
      <c r="H42" s="48">
        <f>Assumptions!C16</f>
        <v>0.8</v>
      </c>
      <c r="I42" s="50">
        <f t="shared" si="7"/>
        <v>147.63944360228493</v>
      </c>
      <c r="J42" s="47">
        <f>Assumptions!F16*(1+Assumptions!$B$8)</f>
        <v>0.1113</v>
      </c>
      <c r="K42" s="50">
        <f t="shared" si="8"/>
        <v>20.540337591167891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46">
        <v>46600</v>
      </c>
      <c r="B43" s="17" t="s">
        <v>42</v>
      </c>
      <c r="C43" s="50">
        <f t="shared" si="9"/>
        <v>158.65303493035336</v>
      </c>
      <c r="D43" s="47">
        <f>C43*(Assumptions!$B$22+Assumptions!$B$10)/12</f>
        <v>1.8509520741874559</v>
      </c>
      <c r="E43" s="47">
        <f>C43*Assumptions!$B$22/12</f>
        <v>1.3221086244196114</v>
      </c>
      <c r="F43" s="50">
        <f t="shared" si="5"/>
        <v>159.18187838012122</v>
      </c>
      <c r="G43" s="50">
        <f t="shared" si="6"/>
        <v>158.91745665523729</v>
      </c>
      <c r="H43" s="48">
        <f>Assumptions!C17</f>
        <v>0.78</v>
      </c>
      <c r="I43" s="50">
        <f t="shared" si="7"/>
        <v>123.95561619108508</v>
      </c>
      <c r="J43" s="47">
        <f>Assumptions!F17*(1+Assumptions!$B$8)</f>
        <v>0.10600000000000001</v>
      </c>
      <c r="K43" s="50">
        <f t="shared" si="8"/>
        <v>16.845250405455154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46">
        <v>46631</v>
      </c>
      <c r="B44" s="17" t="s">
        <v>38</v>
      </c>
      <c r="C44" s="50">
        <f t="shared" si="9"/>
        <v>148.91207977495202</v>
      </c>
      <c r="D44" s="47">
        <f>C44*(Assumptions!$B$22+Assumptions!$B$10)/12</f>
        <v>1.7373075973744403</v>
      </c>
      <c r="E44" s="47">
        <f>C44*Assumptions!$B$22/12</f>
        <v>1.2409339981246001</v>
      </c>
      <c r="F44" s="50">
        <f t="shared" si="5"/>
        <v>149.40845337420186</v>
      </c>
      <c r="G44" s="50">
        <f t="shared" si="6"/>
        <v>149.16026657457695</v>
      </c>
      <c r="H44" s="48">
        <f>Assumptions!C13</f>
        <v>0.82</v>
      </c>
      <c r="I44" s="50">
        <f t="shared" si="7"/>
        <v>122.3114185911531</v>
      </c>
      <c r="J44" s="47">
        <f>Assumptions!F13*(1+Assumptions!$B$8)</f>
        <v>0.12190000000000001</v>
      </c>
      <c r="K44" s="50">
        <f t="shared" si="8"/>
        <v>18.182636495440931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46">
        <v>46631</v>
      </c>
      <c r="B45" s="17" t="s">
        <v>39</v>
      </c>
      <c r="C45" s="50">
        <f t="shared" si="9"/>
        <v>128.37248256461388</v>
      </c>
      <c r="D45" s="47">
        <f>C45*(Assumptions!$B$22+Assumptions!$B$10)/12</f>
        <v>1.4976789632538285</v>
      </c>
      <c r="E45" s="47">
        <f>C45*Assumptions!$B$22/12</f>
        <v>1.069770688038449</v>
      </c>
      <c r="F45" s="50">
        <f t="shared" si="5"/>
        <v>128.80039083982925</v>
      </c>
      <c r="G45" s="50">
        <f t="shared" si="6"/>
        <v>128.58643670222156</v>
      </c>
      <c r="H45" s="48">
        <f>Assumptions!C14</f>
        <v>0.84</v>
      </c>
      <c r="I45" s="50">
        <f t="shared" si="7"/>
        <v>108.0126068298661</v>
      </c>
      <c r="J45" s="47">
        <f>Assumptions!F14*(1+Assumptions!$B$8)</f>
        <v>0.12720000000000001</v>
      </c>
      <c r="K45" s="50">
        <f t="shared" si="8"/>
        <v>16.356194748522583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46">
        <v>46631</v>
      </c>
      <c r="B46" s="17" t="s">
        <v>40</v>
      </c>
      <c r="C46" s="50">
        <f t="shared" si="9"/>
        <v>97.563086749106517</v>
      </c>
      <c r="D46" s="47">
        <f>C46*(Assumptions!$B$22+Assumptions!$B$10)/12</f>
        <v>1.1382360120729096</v>
      </c>
      <c r="E46" s="47">
        <f>C46*Assumptions!$B$22/12</f>
        <v>0.81302572290922104</v>
      </c>
      <c r="F46" s="50">
        <f t="shared" si="5"/>
        <v>97.88829703827021</v>
      </c>
      <c r="G46" s="50">
        <f t="shared" si="6"/>
        <v>97.725691893688364</v>
      </c>
      <c r="H46" s="48">
        <f>Assumptions!C15</f>
        <v>0.86</v>
      </c>
      <c r="I46" s="50">
        <f t="shared" si="7"/>
        <v>84.044095028571988</v>
      </c>
      <c r="J46" s="47">
        <f>Assumptions!F15*(1+Assumptions!$B$8)</f>
        <v>0.13780000000000001</v>
      </c>
      <c r="K46" s="50">
        <f t="shared" si="8"/>
        <v>13.466600342950256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46">
        <v>46631</v>
      </c>
      <c r="B47" s="17" t="s">
        <v>41</v>
      </c>
      <c r="C47" s="50">
        <f t="shared" si="9"/>
        <v>184.85637489304395</v>
      </c>
      <c r="D47" s="47">
        <f>C47*(Assumptions!$B$22+Assumptions!$B$10)/12</f>
        <v>2.1566577070855129</v>
      </c>
      <c r="E47" s="47">
        <f>C47*Assumptions!$B$22/12</f>
        <v>1.5404697907753662</v>
      </c>
      <c r="F47" s="50">
        <f t="shared" si="5"/>
        <v>185.47256280935409</v>
      </c>
      <c r="G47" s="50">
        <f t="shared" si="6"/>
        <v>185.16446885119902</v>
      </c>
      <c r="H47" s="48">
        <f>Assumptions!C16</f>
        <v>0.8</v>
      </c>
      <c r="I47" s="50">
        <f t="shared" si="7"/>
        <v>148.13157508095921</v>
      </c>
      <c r="J47" s="47">
        <f>Assumptions!F16*(1+Assumptions!$B$8)</f>
        <v>0.1113</v>
      </c>
      <c r="K47" s="50">
        <f t="shared" si="8"/>
        <v>20.608805383138449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46">
        <v>46631</v>
      </c>
      <c r="B48" s="17" t="s">
        <v>42</v>
      </c>
      <c r="C48" s="50">
        <f t="shared" si="9"/>
        <v>159.18187838012122</v>
      </c>
      <c r="D48" s="47">
        <f>C48*(Assumptions!$B$22+Assumptions!$B$10)/12</f>
        <v>1.8571219144347477</v>
      </c>
      <c r="E48" s="47">
        <f>C48*Assumptions!$B$22/12</f>
        <v>1.3265156531676769</v>
      </c>
      <c r="F48" s="50">
        <f t="shared" si="5"/>
        <v>159.71248464138827</v>
      </c>
      <c r="G48" s="50">
        <f t="shared" si="6"/>
        <v>159.44718151075475</v>
      </c>
      <c r="H48" s="48">
        <f>Assumptions!C17</f>
        <v>0.78</v>
      </c>
      <c r="I48" s="50">
        <f t="shared" si="7"/>
        <v>124.36880157838871</v>
      </c>
      <c r="J48" s="47">
        <f>Assumptions!F17*(1+Assumptions!$B$8)</f>
        <v>0.10600000000000001</v>
      </c>
      <c r="K48" s="50">
        <f t="shared" si="8"/>
        <v>16.901401240140004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46">
        <v>46661</v>
      </c>
      <c r="B49" s="17" t="s">
        <v>38</v>
      </c>
      <c r="C49" s="50">
        <f t="shared" si="9"/>
        <v>149.40845337420186</v>
      </c>
      <c r="D49" s="47">
        <f>C49*(Assumptions!$B$22+Assumptions!$B$10)/12</f>
        <v>1.7430986226990219</v>
      </c>
      <c r="E49" s="47">
        <f>C49*Assumptions!$B$22/12</f>
        <v>1.2450704447850154</v>
      </c>
      <c r="F49" s="50">
        <f t="shared" si="5"/>
        <v>149.90648155211585</v>
      </c>
      <c r="G49" s="50">
        <f t="shared" si="6"/>
        <v>149.65746746315887</v>
      </c>
      <c r="H49" s="48">
        <f>Assumptions!C13</f>
        <v>0.82</v>
      </c>
      <c r="I49" s="50">
        <f t="shared" si="7"/>
        <v>122.71912331979026</v>
      </c>
      <c r="J49" s="47">
        <f>Assumptions!F13*(1+Assumptions!$B$8)</f>
        <v>0.12190000000000001</v>
      </c>
      <c r="K49" s="50">
        <f t="shared" si="8"/>
        <v>18.243245283759066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46">
        <v>46661</v>
      </c>
      <c r="B50" s="17" t="s">
        <v>39</v>
      </c>
      <c r="C50" s="50">
        <f t="shared" si="9"/>
        <v>128.80039083982925</v>
      </c>
      <c r="D50" s="47">
        <f>C50*(Assumptions!$B$22+Assumptions!$B$10)/12</f>
        <v>1.5026712264646747</v>
      </c>
      <c r="E50" s="47">
        <f>C50*Assumptions!$B$22/12</f>
        <v>1.0733365903319105</v>
      </c>
      <c r="F50" s="50">
        <f t="shared" si="5"/>
        <v>129.22972547596203</v>
      </c>
      <c r="G50" s="50">
        <f t="shared" si="6"/>
        <v>129.01505815789562</v>
      </c>
      <c r="H50" s="48">
        <f>Assumptions!C14</f>
        <v>0.84</v>
      </c>
      <c r="I50" s="50">
        <f t="shared" si="7"/>
        <v>108.37264885263232</v>
      </c>
      <c r="J50" s="47">
        <f>Assumptions!F14*(1+Assumptions!$B$8)</f>
        <v>0.12720000000000001</v>
      </c>
      <c r="K50" s="50">
        <f t="shared" si="8"/>
        <v>16.410715397684324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46">
        <v>46661</v>
      </c>
      <c r="B51" s="17" t="s">
        <v>40</v>
      </c>
      <c r="C51" s="50">
        <f t="shared" si="9"/>
        <v>97.88829703827021</v>
      </c>
      <c r="D51" s="47">
        <f>C51*(Assumptions!$B$22+Assumptions!$B$10)/12</f>
        <v>1.1420301321131525</v>
      </c>
      <c r="E51" s="47">
        <f>C51*Assumptions!$B$22/12</f>
        <v>0.81573580865225181</v>
      </c>
      <c r="F51" s="50">
        <f t="shared" si="5"/>
        <v>98.214591361731109</v>
      </c>
      <c r="G51" s="50">
        <f t="shared" si="6"/>
        <v>98.05144420000066</v>
      </c>
      <c r="H51" s="48">
        <f>Assumptions!C15</f>
        <v>0.86</v>
      </c>
      <c r="I51" s="50">
        <f t="shared" si="7"/>
        <v>84.324242012000568</v>
      </c>
      <c r="J51" s="47">
        <f>Assumptions!F15*(1+Assumptions!$B$8)</f>
        <v>0.13780000000000001</v>
      </c>
      <c r="K51" s="50">
        <f t="shared" si="8"/>
        <v>13.511489010760091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46">
        <v>46661</v>
      </c>
      <c r="B52" s="17" t="s">
        <v>41</v>
      </c>
      <c r="C52" s="50">
        <f t="shared" si="9"/>
        <v>185.47256280935409</v>
      </c>
      <c r="D52" s="47">
        <f>C52*(Assumptions!$B$22+Assumptions!$B$10)/12</f>
        <v>2.1638465661091311</v>
      </c>
      <c r="E52" s="47">
        <f>C52*Assumptions!$B$22/12</f>
        <v>1.545604690077951</v>
      </c>
      <c r="F52" s="50">
        <f t="shared" si="5"/>
        <v>186.09080468538528</v>
      </c>
      <c r="G52" s="50">
        <f t="shared" si="6"/>
        <v>185.7816837473697</v>
      </c>
      <c r="H52" s="48">
        <f>Assumptions!C16</f>
        <v>0.8</v>
      </c>
      <c r="I52" s="50">
        <f t="shared" si="7"/>
        <v>148.62534699789578</v>
      </c>
      <c r="J52" s="47">
        <f>Assumptions!F16*(1+Assumptions!$B$8)</f>
        <v>0.1113</v>
      </c>
      <c r="K52" s="50">
        <f t="shared" si="8"/>
        <v>20.677501401082246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46">
        <v>46661</v>
      </c>
      <c r="B53" s="17" t="s">
        <v>42</v>
      </c>
      <c r="C53" s="50">
        <f t="shared" si="9"/>
        <v>159.71248464138827</v>
      </c>
      <c r="D53" s="47">
        <f>C53*(Assumptions!$B$22+Assumptions!$B$10)/12</f>
        <v>1.8633123208161966</v>
      </c>
      <c r="E53" s="47">
        <f>C53*Assumptions!$B$22/12</f>
        <v>1.3309373720115689</v>
      </c>
      <c r="F53" s="50">
        <f t="shared" si="5"/>
        <v>160.2448595901929</v>
      </c>
      <c r="G53" s="50">
        <f t="shared" si="6"/>
        <v>159.97867211579057</v>
      </c>
      <c r="H53" s="48">
        <f>Assumptions!C17</f>
        <v>0.78</v>
      </c>
      <c r="I53" s="50">
        <f t="shared" si="7"/>
        <v>124.78336425031665</v>
      </c>
      <c r="J53" s="47">
        <f>Assumptions!F17*(1+Assumptions!$B$8)</f>
        <v>0.10600000000000001</v>
      </c>
      <c r="K53" s="50">
        <f t="shared" si="8"/>
        <v>16.957739244273803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46">
        <v>46692</v>
      </c>
      <c r="B54" s="17" t="s">
        <v>38</v>
      </c>
      <c r="C54" s="50">
        <f t="shared" si="9"/>
        <v>149.90648155211585</v>
      </c>
      <c r="D54" s="47">
        <f>C54*(Assumptions!$B$22+Assumptions!$B$10)/12</f>
        <v>1.7489089514413516</v>
      </c>
      <c r="E54" s="47">
        <f>C54*Assumptions!$B$22/12</f>
        <v>1.2492206796009655</v>
      </c>
      <c r="F54" s="50">
        <f t="shared" si="5"/>
        <v>150.40616982395625</v>
      </c>
      <c r="G54" s="50">
        <f t="shared" si="6"/>
        <v>150.15632568803605</v>
      </c>
      <c r="H54" s="48">
        <f>Assumptions!C13</f>
        <v>0.82</v>
      </c>
      <c r="I54" s="50">
        <f t="shared" si="7"/>
        <v>123.12818706418955</v>
      </c>
      <c r="J54" s="47">
        <f>Assumptions!F13*(1+Assumptions!$B$8)</f>
        <v>0.12190000000000001</v>
      </c>
      <c r="K54" s="50">
        <f t="shared" si="8"/>
        <v>18.304056101371597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46">
        <v>46692</v>
      </c>
      <c r="B55" s="17" t="s">
        <v>39</v>
      </c>
      <c r="C55" s="50">
        <f t="shared" si="9"/>
        <v>129.22972547596203</v>
      </c>
      <c r="D55" s="47">
        <f>C55*(Assumptions!$B$22+Assumptions!$B$10)/12</f>
        <v>1.5076801305528906</v>
      </c>
      <c r="E55" s="47">
        <f>C55*Assumptions!$B$22/12</f>
        <v>1.0769143789663502</v>
      </c>
      <c r="F55" s="50">
        <f t="shared" si="5"/>
        <v>129.66049122754856</v>
      </c>
      <c r="G55" s="50">
        <f t="shared" si="6"/>
        <v>129.44510835175529</v>
      </c>
      <c r="H55" s="48">
        <f>Assumptions!C14</f>
        <v>0.84</v>
      </c>
      <c r="I55" s="50">
        <f t="shared" si="7"/>
        <v>108.73389101547444</v>
      </c>
      <c r="J55" s="47">
        <f>Assumptions!F14*(1+Assumptions!$B$8)</f>
        <v>0.12720000000000001</v>
      </c>
      <c r="K55" s="50">
        <f t="shared" si="8"/>
        <v>16.465417782343273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46">
        <v>46692</v>
      </c>
      <c r="B56" s="17" t="s">
        <v>40</v>
      </c>
      <c r="C56" s="50">
        <f t="shared" si="9"/>
        <v>98.214591361731109</v>
      </c>
      <c r="D56" s="47">
        <f>C56*(Assumptions!$B$22+Assumptions!$B$10)/12</f>
        <v>1.1458368992201964</v>
      </c>
      <c r="E56" s="47">
        <f>C56*Assumptions!$B$22/12</f>
        <v>0.81845492801442588</v>
      </c>
      <c r="F56" s="50">
        <f t="shared" si="5"/>
        <v>98.541973332936877</v>
      </c>
      <c r="G56" s="50">
        <f t="shared" si="6"/>
        <v>98.378282347333993</v>
      </c>
      <c r="H56" s="48">
        <f>Assumptions!C15</f>
        <v>0.86</v>
      </c>
      <c r="I56" s="50">
        <f t="shared" si="7"/>
        <v>84.605322818707236</v>
      </c>
      <c r="J56" s="47">
        <f>Assumptions!F15*(1+Assumptions!$B$8)</f>
        <v>0.13780000000000001</v>
      </c>
      <c r="K56" s="50">
        <f t="shared" si="8"/>
        <v>13.556527307462625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46">
        <v>46692</v>
      </c>
      <c r="B57" s="17" t="s">
        <v>41</v>
      </c>
      <c r="C57" s="50">
        <f t="shared" si="9"/>
        <v>186.09080468538528</v>
      </c>
      <c r="D57" s="47">
        <f>C57*(Assumptions!$B$22+Assumptions!$B$10)/12</f>
        <v>2.1710593879961619</v>
      </c>
      <c r="E57" s="47">
        <f>C57*Assumptions!$B$22/12</f>
        <v>1.5507567057115441</v>
      </c>
      <c r="F57" s="50">
        <f t="shared" si="5"/>
        <v>186.71110736766991</v>
      </c>
      <c r="G57" s="50">
        <f t="shared" si="6"/>
        <v>186.40095602652758</v>
      </c>
      <c r="H57" s="48">
        <f>Assumptions!C16</f>
        <v>0.8</v>
      </c>
      <c r="I57" s="50">
        <f t="shared" si="7"/>
        <v>149.12076482122208</v>
      </c>
      <c r="J57" s="47">
        <f>Assumptions!F16*(1+Assumptions!$B$8)</f>
        <v>0.1113</v>
      </c>
      <c r="K57" s="50">
        <f t="shared" si="8"/>
        <v>20.746426405752519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46">
        <v>46692</v>
      </c>
      <c r="B58" s="17" t="s">
        <v>42</v>
      </c>
      <c r="C58" s="50">
        <f t="shared" si="9"/>
        <v>160.2448595901929</v>
      </c>
      <c r="D58" s="47">
        <f>C58*(Assumptions!$B$22+Assumptions!$B$10)/12</f>
        <v>1.869523361885584</v>
      </c>
      <c r="E58" s="47">
        <f>C58*Assumptions!$B$22/12</f>
        <v>1.3353738299182742</v>
      </c>
      <c r="F58" s="50">
        <f t="shared" si="5"/>
        <v>160.77900912216023</v>
      </c>
      <c r="G58" s="50">
        <f t="shared" si="6"/>
        <v>160.51193435617657</v>
      </c>
      <c r="H58" s="48">
        <f>Assumptions!C17</f>
        <v>0.78</v>
      </c>
      <c r="I58" s="50">
        <f t="shared" si="7"/>
        <v>125.19930879781772</v>
      </c>
      <c r="J58" s="47">
        <f>Assumptions!F17*(1+Assumptions!$B$8)</f>
        <v>0.10600000000000001</v>
      </c>
      <c r="K58" s="50">
        <f t="shared" si="8"/>
        <v>17.014265041754719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46">
        <v>46722</v>
      </c>
      <c r="B59" s="17" t="s">
        <v>38</v>
      </c>
      <c r="C59" s="50">
        <f t="shared" si="9"/>
        <v>150.40616982395625</v>
      </c>
      <c r="D59" s="47">
        <f>C59*(Assumptions!$B$22+Assumptions!$B$10)/12</f>
        <v>1.7547386479461562</v>
      </c>
      <c r="E59" s="47">
        <f>C59*Assumptions!$B$22/12</f>
        <v>1.2533847485329688</v>
      </c>
      <c r="F59" s="50">
        <f t="shared" si="5"/>
        <v>150.90752372336945</v>
      </c>
      <c r="G59" s="50">
        <f t="shared" si="6"/>
        <v>150.65684677366283</v>
      </c>
      <c r="H59" s="48">
        <f>Assumptions!C13</f>
        <v>0.82</v>
      </c>
      <c r="I59" s="50">
        <f t="shared" si="7"/>
        <v>123.53861435440352</v>
      </c>
      <c r="J59" s="47">
        <f>Assumptions!F13*(1+Assumptions!$B$8)</f>
        <v>0.12190000000000001</v>
      </c>
      <c r="K59" s="50">
        <f t="shared" si="8"/>
        <v>18.365069621709502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46">
        <v>46722</v>
      </c>
      <c r="B60" s="17" t="s">
        <v>39</v>
      </c>
      <c r="C60" s="50">
        <f t="shared" si="9"/>
        <v>129.66049122754856</v>
      </c>
      <c r="D60" s="47">
        <f>C60*(Assumptions!$B$22+Assumptions!$B$10)/12</f>
        <v>1.5127057309880667</v>
      </c>
      <c r="E60" s="47">
        <f>C60*Assumptions!$B$22/12</f>
        <v>1.0805040935629047</v>
      </c>
      <c r="F60" s="50">
        <f t="shared" si="5"/>
        <v>130.09269286497374</v>
      </c>
      <c r="G60" s="50">
        <f t="shared" si="6"/>
        <v>129.87659204626115</v>
      </c>
      <c r="H60" s="48">
        <f>Assumptions!C14</f>
        <v>0.84</v>
      </c>
      <c r="I60" s="50">
        <f t="shared" si="7"/>
        <v>109.09633731885937</v>
      </c>
      <c r="J60" s="47">
        <f>Assumptions!F14*(1+Assumptions!$B$8)</f>
        <v>0.12720000000000001</v>
      </c>
      <c r="K60" s="50">
        <f t="shared" si="8"/>
        <v>16.52030250828442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46">
        <v>46722</v>
      </c>
      <c r="B61" s="17" t="s">
        <v>40</v>
      </c>
      <c r="C61" s="50">
        <f t="shared" si="9"/>
        <v>98.541973332936877</v>
      </c>
      <c r="D61" s="47">
        <f>C61*(Assumptions!$B$22+Assumptions!$B$10)/12</f>
        <v>1.1496563555509303</v>
      </c>
      <c r="E61" s="47">
        <f>C61*Assumptions!$B$22/12</f>
        <v>0.8211831111078074</v>
      </c>
      <c r="F61" s="50">
        <f t="shared" si="5"/>
        <v>98.870446577379994</v>
      </c>
      <c r="G61" s="50">
        <f t="shared" si="6"/>
        <v>98.706209955158442</v>
      </c>
      <c r="H61" s="48">
        <f>Assumptions!C15</f>
        <v>0.86</v>
      </c>
      <c r="I61" s="50">
        <f t="shared" si="7"/>
        <v>84.887340561436261</v>
      </c>
      <c r="J61" s="47">
        <f>Assumptions!F15*(1+Assumptions!$B$8)</f>
        <v>0.13780000000000001</v>
      </c>
      <c r="K61" s="50">
        <f t="shared" si="8"/>
        <v>13.601715731820834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46">
        <v>46722</v>
      </c>
      <c r="B62" s="17" t="s">
        <v>41</v>
      </c>
      <c r="C62" s="50">
        <f t="shared" si="9"/>
        <v>186.71110736766991</v>
      </c>
      <c r="D62" s="47">
        <f>C62*(Assumptions!$B$22+Assumptions!$B$10)/12</f>
        <v>2.178296252622816</v>
      </c>
      <c r="E62" s="47">
        <f>C62*Assumptions!$B$22/12</f>
        <v>1.5559258947305825</v>
      </c>
      <c r="F62" s="50">
        <f t="shared" si="5"/>
        <v>187.33347772556215</v>
      </c>
      <c r="G62" s="50">
        <f t="shared" si="6"/>
        <v>187.02229254661603</v>
      </c>
      <c r="H62" s="48">
        <f>Assumptions!C16</f>
        <v>0.8</v>
      </c>
      <c r="I62" s="50">
        <f t="shared" si="7"/>
        <v>149.61783403729282</v>
      </c>
      <c r="J62" s="47">
        <f>Assumptions!F16*(1+Assumptions!$B$8)</f>
        <v>0.1113</v>
      </c>
      <c r="K62" s="50">
        <f t="shared" si="8"/>
        <v>20.815581160438363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46">
        <v>46722</v>
      </c>
      <c r="B63" s="17" t="s">
        <v>42</v>
      </c>
      <c r="C63" s="50">
        <f t="shared" si="9"/>
        <v>160.77900912216023</v>
      </c>
      <c r="D63" s="47">
        <f>C63*(Assumptions!$B$22+Assumptions!$B$10)/12</f>
        <v>1.8757551064252029</v>
      </c>
      <c r="E63" s="47">
        <f>C63*Assumptions!$B$22/12</f>
        <v>1.3398250760180019</v>
      </c>
      <c r="F63" s="50">
        <f t="shared" si="5"/>
        <v>161.31493915256743</v>
      </c>
      <c r="G63" s="50">
        <f t="shared" si="6"/>
        <v>161.04697413736383</v>
      </c>
      <c r="H63" s="48">
        <f>Assumptions!C17</f>
        <v>0.78</v>
      </c>
      <c r="I63" s="50">
        <f t="shared" si="7"/>
        <v>125.6166398271438</v>
      </c>
      <c r="J63" s="47">
        <f>Assumptions!F17*(1+Assumptions!$B$8)</f>
        <v>0.10600000000000001</v>
      </c>
      <c r="K63" s="50">
        <f t="shared" si="8"/>
        <v>17.07097925856057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00"/>
  <sheetViews>
    <sheetView showGridLines="0" workbookViewId="0">
      <pane ySplit="3" topLeftCell="A4" activePane="bottomLeft" state="frozen"/>
      <selection pane="bottomLeft" sqref="A1:I1"/>
    </sheetView>
  </sheetViews>
  <sheetFormatPr defaultRowHeight="14.4"/>
  <cols>
    <col min="1" max="1" width="12" style="18" bestFit="1" customWidth="1"/>
    <col min="2" max="2" width="8.8984375" style="18" customWidth="1"/>
    <col min="3" max="3" width="10.3984375" style="18" customWidth="1"/>
    <col min="4" max="5" width="10.59765625" style="18" customWidth="1"/>
    <col min="6" max="6" width="22.19921875" style="18" bestFit="1" customWidth="1"/>
    <col min="7" max="7" width="15.19921875" style="18" customWidth="1"/>
    <col min="8" max="9" width="11.3984375" style="18" customWidth="1"/>
    <col min="10" max="16384" width="8.796875" style="18"/>
  </cols>
  <sheetData>
    <row r="1" spans="1:52" ht="24" customHeight="1">
      <c r="A1" s="43" t="s">
        <v>101</v>
      </c>
      <c r="B1" s="44"/>
      <c r="C1" s="44"/>
      <c r="D1" s="44"/>
      <c r="E1" s="44"/>
      <c r="F1" s="44"/>
      <c r="G1" s="44"/>
      <c r="H1" s="44"/>
      <c r="I1" s="4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16</v>
      </c>
      <c r="B3" s="22" t="s">
        <v>99</v>
      </c>
      <c r="C3" s="22" t="s">
        <v>24</v>
      </c>
      <c r="D3" s="22" t="s">
        <v>102</v>
      </c>
      <c r="E3" s="22" t="s">
        <v>103</v>
      </c>
      <c r="F3" s="22" t="s">
        <v>104</v>
      </c>
      <c r="G3" s="22" t="s">
        <v>105</v>
      </c>
      <c r="H3" s="22" t="s">
        <v>106</v>
      </c>
      <c r="I3" s="22" t="s">
        <v>32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46">
        <v>46388</v>
      </c>
      <c r="B4" s="47">
        <f>SUM('Headcount Plan'!G4:G8)</f>
        <v>701.16666666666663</v>
      </c>
      <c r="C4" s="47">
        <f>SUM('Revenue Forecast'!I4:I8)</f>
        <v>166.38459504799999</v>
      </c>
      <c r="D4" s="47">
        <f>SUMPRODUCT('Headcount Plan'!G4:G8,Assumptions!$G$13:$G$17)*(1+Assumptions!$B$9)</f>
        <v>7.178193750000001</v>
      </c>
      <c r="E4" s="47">
        <f>B4*Assumptions!$B$24*(1+Assumptions!$B$9)</f>
        <v>4.4173499999999999</v>
      </c>
      <c r="F4" s="47">
        <f>C4*Assumptions!$B$25*(1+Assumptions!$B$9)</f>
        <v>7.8616721160180001</v>
      </c>
      <c r="G4" s="47">
        <f>C4*Assumptions!$B$23</f>
        <v>12.478844628599999</v>
      </c>
      <c r="H4" s="47">
        <f>SUM('Headcount Plan'!K4:K8)</f>
        <v>83.269050833333353</v>
      </c>
      <c r="I4" s="50">
        <f t="shared" ref="I4:I15" si="0">SUM(D4:H4)</f>
        <v>115.20511132795136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46">
        <v>46419</v>
      </c>
      <c r="B5" s="47">
        <f>SUM('Headcount Plan'!G9:G13)</f>
        <v>703.50388888888881</v>
      </c>
      <c r="C5" s="47">
        <f>SUM('Revenue Forecast'!I9:I13)</f>
        <v>166.93921036482666</v>
      </c>
      <c r="D5" s="47">
        <f>SUMPRODUCT('Headcount Plan'!G9:G13,Assumptions!$G$13:$G$17)*(1+Assumptions!$B$9)</f>
        <v>7.2021210624999998</v>
      </c>
      <c r="E5" s="47">
        <f>B5*Assumptions!$B$24*(1+Assumptions!$B$9)</f>
        <v>4.4320744999999997</v>
      </c>
      <c r="F5" s="47">
        <f>C5*Assumptions!$B$25*(1+Assumptions!$B$9)</f>
        <v>7.88787768973806</v>
      </c>
      <c r="G5" s="47">
        <f>C5*Assumptions!$B$23</f>
        <v>12.520440777361999</v>
      </c>
      <c r="H5" s="47">
        <f>SUM('Headcount Plan'!K9:K13)</f>
        <v>83.546614336111105</v>
      </c>
      <c r="I5" s="50">
        <f t="shared" si="0"/>
        <v>115.58912836571116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46">
        <v>46447</v>
      </c>
      <c r="B6" s="47">
        <f>SUM('Headcount Plan'!G14:G18)</f>
        <v>705.84890185185191</v>
      </c>
      <c r="C6" s="47">
        <f>SUM('Revenue Forecast'!I14:I18)</f>
        <v>167.49567439937607</v>
      </c>
      <c r="D6" s="47">
        <f>SUMPRODUCT('Headcount Plan'!G14:G18,Assumptions!$G$13:$G$17)*(1+Assumptions!$B$9)</f>
        <v>7.2261281327083333</v>
      </c>
      <c r="E6" s="47">
        <f>B6*Assumptions!$B$24*(1+Assumptions!$B$9)</f>
        <v>4.4468480816666673</v>
      </c>
      <c r="F6" s="47">
        <f>C6*Assumptions!$B$25*(1+Assumptions!$B$9)</f>
        <v>7.9141706153705194</v>
      </c>
      <c r="G6" s="47">
        <f>C6*Assumptions!$B$23</f>
        <v>12.562175579953205</v>
      </c>
      <c r="H6" s="47">
        <f>SUM('Headcount Plan'!K14:K18)</f>
        <v>83.82510305056482</v>
      </c>
      <c r="I6" s="50">
        <f t="shared" si="0"/>
        <v>115.97442546026355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46">
        <v>46478</v>
      </c>
      <c r="B7" s="47">
        <f>SUM('Headcount Plan'!G19:G23)</f>
        <v>708.20173152469147</v>
      </c>
      <c r="C7" s="47">
        <f>SUM('Revenue Forecast'!I19:I23)</f>
        <v>168.05399331404067</v>
      </c>
      <c r="D7" s="47">
        <f>SUMPRODUCT('Headcount Plan'!G19:G23,Assumptions!$G$13:$G$17)*(1+Assumptions!$B$9)</f>
        <v>7.2502152264840287</v>
      </c>
      <c r="E7" s="47">
        <f>B7*Assumptions!$B$24*(1+Assumptions!$B$9)</f>
        <v>4.4616709086055568</v>
      </c>
      <c r="F7" s="47">
        <f>C7*Assumptions!$B$25*(1+Assumptions!$B$9)</f>
        <v>7.9405511840884211</v>
      </c>
      <c r="G7" s="47">
        <f>C7*Assumptions!$B$23</f>
        <v>12.604049498553049</v>
      </c>
      <c r="H7" s="47">
        <f>SUM('Headcount Plan'!K19:K23)</f>
        <v>84.104520060733364</v>
      </c>
      <c r="I7" s="50">
        <f t="shared" si="0"/>
        <v>116.36100687846442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46">
        <v>46508</v>
      </c>
      <c r="B8" s="47">
        <f>SUM('Headcount Plan'!G24:G28)</f>
        <v>710.56240396310682</v>
      </c>
      <c r="C8" s="47">
        <f>SUM('Revenue Forecast'!I24:I28)</f>
        <v>168.61417329175413</v>
      </c>
      <c r="D8" s="47">
        <f>SUMPRODUCT('Headcount Plan'!G24:G28,Assumptions!$G$13:$G$17)*(1+Assumptions!$B$9)</f>
        <v>7.2743826105723075</v>
      </c>
      <c r="E8" s="47">
        <f>B8*Assumptions!$B$24*(1+Assumptions!$B$9)</f>
        <v>4.4765431449675734</v>
      </c>
      <c r="F8" s="47">
        <f>C8*Assumptions!$B$25*(1+Assumptions!$B$9)</f>
        <v>7.9670196880353821</v>
      </c>
      <c r="G8" s="47">
        <f>C8*Assumptions!$B$23</f>
        <v>12.646062996881559</v>
      </c>
      <c r="H8" s="47">
        <f>SUM('Headcount Plan'!K24:K28)</f>
        <v>84.384868460935806</v>
      </c>
      <c r="I8" s="50">
        <f t="shared" si="0"/>
        <v>116.74887690139263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46">
        <v>46539</v>
      </c>
      <c r="B9" s="47">
        <f>SUM('Headcount Plan'!G29:G33)</f>
        <v>712.93094530965061</v>
      </c>
      <c r="C9" s="47">
        <f>SUM('Revenue Forecast'!I29:I33)</f>
        <v>169.17622053605999</v>
      </c>
      <c r="D9" s="47">
        <f>SUMPRODUCT('Headcount Plan'!G29:G33,Assumptions!$G$13:$G$17)*(1+Assumptions!$B$9)</f>
        <v>7.2986305526075483</v>
      </c>
      <c r="E9" s="47">
        <f>B9*Assumptions!$B$24*(1+Assumptions!$B$9)</f>
        <v>4.491464955450799</v>
      </c>
      <c r="F9" s="47">
        <f>C9*Assumptions!$B$25*(1+Assumptions!$B$9)</f>
        <v>7.9935764203288349</v>
      </c>
      <c r="G9" s="47">
        <f>C9*Assumptions!$B$23</f>
        <v>12.688216540204499</v>
      </c>
      <c r="H9" s="47">
        <f>SUM('Headcount Plan'!K29:K33)</f>
        <v>84.666151355805596</v>
      </c>
      <c r="I9" s="50">
        <f t="shared" si="0"/>
        <v>117.13803982439728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46">
        <v>46569</v>
      </c>
      <c r="B10" s="47">
        <f>SUM('Headcount Plan'!G34:G38)</f>
        <v>715.30738179401612</v>
      </c>
      <c r="C10" s="47">
        <f>SUM('Revenue Forecast'!I34:I38)</f>
        <v>169.74014127118016</v>
      </c>
      <c r="D10" s="47">
        <f>SUMPRODUCT('Headcount Plan'!G34:G38,Assumptions!$G$13:$G$17)*(1+Assumptions!$B$9)</f>
        <v>7.3229593211162411</v>
      </c>
      <c r="E10" s="47">
        <f>B10*Assumptions!$B$24*(1+Assumptions!$B$9)</f>
        <v>4.5064365053023012</v>
      </c>
      <c r="F10" s="47">
        <f>C10*Assumptions!$B$25*(1+Assumptions!$B$9)</f>
        <v>8.0202216750632633</v>
      </c>
      <c r="G10" s="47">
        <f>C10*Assumptions!$B$23</f>
        <v>12.730510595338512</v>
      </c>
      <c r="H10" s="47">
        <f>SUM('Headcount Plan'!K34:K38)</f>
        <v>84.948371860324954</v>
      </c>
      <c r="I10" s="50">
        <f t="shared" si="0"/>
        <v>117.52849995714527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46">
        <v>46600</v>
      </c>
      <c r="B11" s="47">
        <f>SUM('Headcount Plan'!G39:G43)</f>
        <v>717.69173973332943</v>
      </c>
      <c r="C11" s="47">
        <f>SUM('Revenue Forecast'!I39:I43)</f>
        <v>170.30594174208409</v>
      </c>
      <c r="D11" s="47">
        <f>SUMPRODUCT('Headcount Plan'!G39:G43,Assumptions!$G$13:$G$17)*(1+Assumptions!$B$9)</f>
        <v>7.3473691855199608</v>
      </c>
      <c r="E11" s="47">
        <f>B11*Assumptions!$B$24*(1+Assumptions!$B$9)</f>
        <v>4.5214579603199754</v>
      </c>
      <c r="F11" s="47">
        <f>C11*Assumptions!$B$25*(1+Assumptions!$B$9)</f>
        <v>8.0469557473134739</v>
      </c>
      <c r="G11" s="47">
        <f>C11*Assumptions!$B$23</f>
        <v>12.772945630656306</v>
      </c>
      <c r="H11" s="47">
        <f>SUM('Headcount Plan'!K39:K43)</f>
        <v>85.231533099859348</v>
      </c>
      <c r="I11" s="50">
        <f t="shared" si="0"/>
        <v>117.92026162366906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46">
        <v>46631</v>
      </c>
      <c r="B12" s="47">
        <f>SUM('Headcount Plan'!G44:G48)</f>
        <v>720.08404553244054</v>
      </c>
      <c r="C12" s="47">
        <f>SUM('Revenue Forecast'!I44:I48)</f>
        <v>170.87362821455773</v>
      </c>
      <c r="D12" s="47">
        <f>SUMPRODUCT('Headcount Plan'!G44:G48,Assumptions!$G$13:$G$17)*(1+Assumptions!$B$9)</f>
        <v>7.371860416138361</v>
      </c>
      <c r="E12" s="47">
        <f>B12*Assumptions!$B$24*(1+Assumptions!$B$9)</f>
        <v>4.5365294868543762</v>
      </c>
      <c r="F12" s="47">
        <f>C12*Assumptions!$B$25*(1+Assumptions!$B$9)</f>
        <v>8.0737789331378522</v>
      </c>
      <c r="G12" s="47">
        <f>C12*Assumptions!$B$23</f>
        <v>12.815522116091829</v>
      </c>
      <c r="H12" s="47">
        <f>SUM('Headcount Plan'!K44:K48)</f>
        <v>85.515638210192222</v>
      </c>
      <c r="I12" s="50">
        <f t="shared" si="0"/>
        <v>118.31332916241465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46">
        <v>46661</v>
      </c>
      <c r="B13" s="47">
        <f>SUM('Headcount Plan'!G49:G53)</f>
        <v>722.48432568421538</v>
      </c>
      <c r="C13" s="47">
        <f>SUM('Revenue Forecast'!I49:I53)</f>
        <v>171.44320697527294</v>
      </c>
      <c r="D13" s="47">
        <f>SUMPRODUCT('Headcount Plan'!G49:G53,Assumptions!$G$13:$G$17)*(1+Assumptions!$B$9)</f>
        <v>7.3964332841921543</v>
      </c>
      <c r="E13" s="47">
        <f>B13*Assumptions!$B$24*(1+Assumptions!$B$9)</f>
        <v>4.551651251810557</v>
      </c>
      <c r="F13" s="47">
        <f>C13*Assumptions!$B$25*(1+Assumptions!$B$9)</f>
        <v>8.1006915295816473</v>
      </c>
      <c r="G13" s="47">
        <f>C13*Assumptions!$B$23</f>
        <v>12.85824052314547</v>
      </c>
      <c r="H13" s="47">
        <f>SUM('Headcount Plan'!K49:K53)</f>
        <v>85.80069033755953</v>
      </c>
      <c r="I13" s="50">
        <f t="shared" si="0"/>
        <v>118.70770692628935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46">
        <v>46692</v>
      </c>
      <c r="B14" s="47">
        <f>SUM('Headcount Plan'!G54:G58)</f>
        <v>724.89260676982951</v>
      </c>
      <c r="C14" s="47">
        <f>SUM('Revenue Forecast'!I54:I58)</f>
        <v>172.01468433185715</v>
      </c>
      <c r="D14" s="47">
        <f>SUMPRODUCT('Headcount Plan'!G54:G58,Assumptions!$G$13:$G$17)*(1+Assumptions!$B$9)</f>
        <v>7.4210880618061292</v>
      </c>
      <c r="E14" s="47">
        <f>B14*Assumptions!$B$24*(1+Assumptions!$B$9)</f>
        <v>4.5668234226499269</v>
      </c>
      <c r="F14" s="47">
        <f>C14*Assumptions!$B$25*(1+Assumptions!$B$9)</f>
        <v>8.127693834680251</v>
      </c>
      <c r="G14" s="47">
        <f>C14*Assumptions!$B$23</f>
        <v>12.901101324889286</v>
      </c>
      <c r="H14" s="47">
        <f>SUM('Headcount Plan'!K54:K58)</f>
        <v>86.086692638684724</v>
      </c>
      <c r="I14" s="50">
        <f t="shared" si="0"/>
        <v>119.10339928271031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46">
        <v>46722</v>
      </c>
      <c r="B15" s="47">
        <f>SUM('Headcount Plan'!G59:G63)</f>
        <v>727.30891545906229</v>
      </c>
      <c r="C15" s="47">
        <f>SUM('Revenue Forecast'!I59:I63)</f>
        <v>172.58806661296339</v>
      </c>
      <c r="D15" s="47">
        <f>SUMPRODUCT('Headcount Plan'!G59:G63,Assumptions!$G$13:$G$17)*(1+Assumptions!$B$9)</f>
        <v>7.4458250220121505</v>
      </c>
      <c r="E15" s="47">
        <f>B15*Assumptions!$B$24*(1+Assumptions!$B$9)</f>
        <v>4.5820461673920931</v>
      </c>
      <c r="F15" s="47">
        <f>C15*Assumptions!$B$25*(1+Assumptions!$B$9)</f>
        <v>8.1547861474625201</v>
      </c>
      <c r="G15" s="47">
        <f>C15*Assumptions!$B$23</f>
        <v>12.944104995972253</v>
      </c>
      <c r="H15" s="47">
        <f>SUM('Headcount Plan'!K59:K63)</f>
        <v>86.373648280813697</v>
      </c>
      <c r="I15" s="50">
        <f t="shared" si="0"/>
        <v>119.50041061365272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200"/>
  <sheetViews>
    <sheetView showGridLines="0" workbookViewId="0">
      <pane xSplit="1" ySplit="3" topLeftCell="W4" activePane="bottomRight" state="frozen"/>
      <selection pane="topRight"/>
      <selection pane="bottomLeft"/>
      <selection pane="bottomRight" sqref="A1:AK1"/>
    </sheetView>
  </sheetViews>
  <sheetFormatPr defaultRowHeight="14.4"/>
  <cols>
    <col min="1" max="1" width="34" style="18" customWidth="1"/>
    <col min="2" max="2" width="6.09765625" style="18" bestFit="1" customWidth="1"/>
    <col min="3" max="4" width="6.19921875" style="18" bestFit="1" customWidth="1"/>
    <col min="5" max="5" width="6.09765625" style="18" bestFit="1" customWidth="1"/>
    <col min="6" max="6" width="6.3984375" style="18" bestFit="1" customWidth="1"/>
    <col min="7" max="7" width="6.19921875" style="18" bestFit="1" customWidth="1"/>
    <col min="8" max="8" width="5.59765625" style="18" bestFit="1" customWidth="1"/>
    <col min="9" max="9" width="6.3984375" style="18" bestFit="1" customWidth="1"/>
    <col min="10" max="10" width="6.296875" style="18" bestFit="1" customWidth="1"/>
    <col min="11" max="11" width="6.09765625" style="18" bestFit="1" customWidth="1"/>
    <col min="12" max="12" width="6.3984375" style="18" bestFit="1" customWidth="1"/>
    <col min="13" max="13" width="6.296875" style="18" bestFit="1" customWidth="1"/>
    <col min="14" max="14" width="6.09765625" style="18" bestFit="1" customWidth="1"/>
    <col min="15" max="16" width="6.19921875" style="18" bestFit="1" customWidth="1"/>
    <col min="17" max="17" width="6.09765625" style="18" bestFit="1" customWidth="1"/>
    <col min="18" max="18" width="6.3984375" style="18" bestFit="1" customWidth="1"/>
    <col min="19" max="19" width="6.19921875" style="18" bestFit="1" customWidth="1"/>
    <col min="20" max="20" width="5.59765625" style="18" bestFit="1" customWidth="1"/>
    <col min="21" max="21" width="6.3984375" style="18" bestFit="1" customWidth="1"/>
    <col min="22" max="22" width="6.296875" style="18" bestFit="1" customWidth="1"/>
    <col min="23" max="23" width="6.09765625" style="18" bestFit="1" customWidth="1"/>
    <col min="24" max="24" width="6.3984375" style="18" bestFit="1" customWidth="1"/>
    <col min="25" max="25" width="6.296875" style="18" bestFit="1" customWidth="1"/>
    <col min="26" max="26" width="6.09765625" style="18" bestFit="1" customWidth="1"/>
    <col min="27" max="28" width="6.19921875" style="18" bestFit="1" customWidth="1"/>
    <col min="29" max="29" width="6.09765625" style="18" bestFit="1" customWidth="1"/>
    <col min="30" max="30" width="6.3984375" style="18" bestFit="1" customWidth="1"/>
    <col min="31" max="31" width="6.19921875" style="18" bestFit="1" customWidth="1"/>
    <col min="32" max="32" width="5.59765625" style="18" bestFit="1" customWidth="1"/>
    <col min="33" max="33" width="6.3984375" style="18" bestFit="1" customWidth="1"/>
    <col min="34" max="34" width="6.296875" style="18" bestFit="1" customWidth="1"/>
    <col min="35" max="35" width="6.09765625" style="18" bestFit="1" customWidth="1"/>
    <col min="36" max="36" width="6.3984375" style="18" bestFit="1" customWidth="1"/>
    <col min="37" max="37" width="6.296875" style="18" bestFit="1" customWidth="1"/>
    <col min="38" max="39" width="8.796875" style="18" customWidth="1"/>
    <col min="40" max="40" width="10.296875" style="18" customWidth="1"/>
    <col min="41" max="16384" width="8.796875" style="18"/>
  </cols>
  <sheetData>
    <row r="1" spans="1:51" ht="24" customHeight="1">
      <c r="A1" s="43" t="s">
        <v>107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51"/>
      <c r="AM1" s="51"/>
      <c r="AN1" s="51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1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 ht="30" customHeight="1">
      <c r="A3" s="22" t="s">
        <v>108</v>
      </c>
      <c r="B3" s="52">
        <v>45658</v>
      </c>
      <c r="C3" s="52">
        <v>45689</v>
      </c>
      <c r="D3" s="52">
        <v>45717</v>
      </c>
      <c r="E3" s="52">
        <v>45748</v>
      </c>
      <c r="F3" s="52">
        <v>45778</v>
      </c>
      <c r="G3" s="52">
        <v>45809</v>
      </c>
      <c r="H3" s="52">
        <v>45839</v>
      </c>
      <c r="I3" s="52">
        <v>45870</v>
      </c>
      <c r="J3" s="52">
        <v>45901</v>
      </c>
      <c r="K3" s="52">
        <v>45931</v>
      </c>
      <c r="L3" s="52">
        <v>45962</v>
      </c>
      <c r="M3" s="52">
        <v>45992</v>
      </c>
      <c r="N3" s="52">
        <v>46023</v>
      </c>
      <c r="O3" s="52">
        <v>46054</v>
      </c>
      <c r="P3" s="52">
        <v>46082</v>
      </c>
      <c r="Q3" s="52">
        <v>46113</v>
      </c>
      <c r="R3" s="52">
        <v>46143</v>
      </c>
      <c r="S3" s="52">
        <v>46174</v>
      </c>
      <c r="T3" s="52">
        <v>46204</v>
      </c>
      <c r="U3" s="52">
        <v>46235</v>
      </c>
      <c r="V3" s="52">
        <v>46266</v>
      </c>
      <c r="W3" s="52">
        <v>46296</v>
      </c>
      <c r="X3" s="52">
        <v>46327</v>
      </c>
      <c r="Y3" s="52">
        <v>46357</v>
      </c>
      <c r="Z3" s="52">
        <v>46388</v>
      </c>
      <c r="AA3" s="52">
        <v>46419</v>
      </c>
      <c r="AB3" s="52">
        <v>46447</v>
      </c>
      <c r="AC3" s="52">
        <v>46478</v>
      </c>
      <c r="AD3" s="52">
        <v>46508</v>
      </c>
      <c r="AE3" s="52">
        <v>46539</v>
      </c>
      <c r="AF3" s="52">
        <v>46569</v>
      </c>
      <c r="AG3" s="52">
        <v>46600</v>
      </c>
      <c r="AH3" s="52">
        <v>46631</v>
      </c>
      <c r="AI3" s="52">
        <v>46661</v>
      </c>
      <c r="AJ3" s="52">
        <v>46692</v>
      </c>
      <c r="AK3" s="52">
        <v>46722</v>
      </c>
      <c r="AL3" s="22" t="s">
        <v>109</v>
      </c>
      <c r="AM3" s="22" t="s">
        <v>110</v>
      </c>
      <c r="AN3" s="22" t="s">
        <v>111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</row>
    <row r="4" spans="1:51">
      <c r="A4" s="19" t="s">
        <v>112</v>
      </c>
      <c r="B4" s="53">
        <f>SUMIFS(Actuals!$I$4:$I$123,Actuals!$A$4:$A$123,B$3)</f>
        <v>116.61211674716671</v>
      </c>
      <c r="C4" s="53">
        <f>SUMIFS(Actuals!$I$4:$I$123,Actuals!$A$4:$A$123,C$3)</f>
        <v>117.84409971323653</v>
      </c>
      <c r="D4" s="53">
        <f>SUMIFS(Actuals!$I$4:$I$123,Actuals!$A$4:$A$123,D$3)</f>
        <v>119.75911492013513</v>
      </c>
      <c r="E4" s="53">
        <f>SUMIFS(Actuals!$I$4:$I$123,Actuals!$A$4:$A$123,E$3)</f>
        <v>117.74867275882795</v>
      </c>
      <c r="F4" s="53">
        <f>SUMIFS(Actuals!$I$4:$I$123,Actuals!$A$4:$A$123,F$3)</f>
        <v>122.75101280671595</v>
      </c>
      <c r="G4" s="53">
        <f>SUMIFS(Actuals!$I$4:$I$123,Actuals!$A$4:$A$123,G$3)</f>
        <v>124.77300506246088</v>
      </c>
      <c r="H4" s="53">
        <f>SUMIFS(Actuals!$I$4:$I$123,Actuals!$A$4:$A$123,H$3)</f>
        <v>126.16668310334488</v>
      </c>
      <c r="I4" s="53">
        <f>SUMIFS(Actuals!$I$4:$I$123,Actuals!$A$4:$A$123,I$3)</f>
        <v>128.27071258314788</v>
      </c>
      <c r="J4" s="53">
        <f>SUMIFS(Actuals!$I$4:$I$123,Actuals!$A$4:$A$123,J$3)</f>
        <v>132.51592528682878</v>
      </c>
      <c r="K4" s="53">
        <f>SUMIFS(Actuals!$I$4:$I$123,Actuals!$A$4:$A$123,K$3)</f>
        <v>134.55588654309838</v>
      </c>
      <c r="L4" s="53">
        <f>SUMIFS(Actuals!$I$4:$I$123,Actuals!$A$4:$A$123,L$3)</f>
        <v>132.76635950635395</v>
      </c>
      <c r="M4" s="53">
        <f>SUMIFS(Actuals!$I$4:$I$123,Actuals!$A$4:$A$123,M$3)</f>
        <v>130.73065858467612</v>
      </c>
      <c r="N4" s="53">
        <f>SUMIFS(Actuals!$I$4:$I$123,Actuals!$A$4:$A$123,N$3)</f>
        <v>139.73883813039851</v>
      </c>
      <c r="O4" s="53">
        <f>SUMIFS(Actuals!$I$4:$I$123,Actuals!$A$4:$A$123,O$3)</f>
        <v>141.50955093319649</v>
      </c>
      <c r="P4" s="53">
        <f>SUMIFS(Actuals!$I$4:$I$123,Actuals!$A$4:$A$123,P$3)</f>
        <v>143.44952553739813</v>
      </c>
      <c r="Q4" s="53">
        <f>SUMIFS(Actuals!$I$4:$I$123,Actuals!$A$4:$A$123,Q$3)</f>
        <v>139.41977613063835</v>
      </c>
      <c r="R4" s="53">
        <f>SUMIFS(Actuals!$I$4:$I$123,Actuals!$A$4:$A$123,R$3)</f>
        <v>145.56294680607934</v>
      </c>
      <c r="S4" s="53">
        <f>SUMIFS(Actuals!$I$4:$I$123,Actuals!$A$4:$A$123,S$3)</f>
        <v>147.68157368086921</v>
      </c>
      <c r="T4" s="53">
        <f>SUMIFS(Actuals!$I$4:$I$123,Actuals!$A$4:$A$123,T$3)</f>
        <v>150.61498119837771</v>
      </c>
      <c r="U4" s="53">
        <f>SUMIFS(Actuals!$I$4:$I$123,Actuals!$A$4:$A$123,U$3)</f>
        <v>151.90559057504112</v>
      </c>
      <c r="V4" s="53">
        <f>SUMIFS(Actuals!$I$4:$I$123,Actuals!$A$4:$A$123,V$3)</f>
        <v>156.14752610057005</v>
      </c>
      <c r="W4" s="53">
        <f>SUMIFS(Actuals!$I$4:$I$123,Actuals!$A$4:$A$123,W$3)</f>
        <v>157.74079345437627</v>
      </c>
      <c r="X4" s="53">
        <f>SUMIFS(Actuals!$I$4:$I$123,Actuals!$A$4:$A$123,X$3)</f>
        <v>157.61241570016571</v>
      </c>
      <c r="Y4" s="53">
        <f>SUMIFS(Actuals!$I$4:$I$123,Actuals!$A$4:$A$123,Y$3)</f>
        <v>154.59837174588284</v>
      </c>
      <c r="Z4" s="53">
        <f>'Opex Forecast'!C4</f>
        <v>166.38459504799999</v>
      </c>
      <c r="AA4" s="53">
        <f>'Opex Forecast'!C5</f>
        <v>166.93921036482666</v>
      </c>
      <c r="AB4" s="53">
        <f>'Opex Forecast'!C6</f>
        <v>167.49567439937607</v>
      </c>
      <c r="AC4" s="53">
        <f>'Opex Forecast'!C7</f>
        <v>168.05399331404067</v>
      </c>
      <c r="AD4" s="53">
        <f>'Opex Forecast'!C8</f>
        <v>168.61417329175413</v>
      </c>
      <c r="AE4" s="53">
        <f>'Opex Forecast'!C9</f>
        <v>169.17622053605999</v>
      </c>
      <c r="AF4" s="53">
        <f>'Opex Forecast'!C10</f>
        <v>169.74014127118016</v>
      </c>
      <c r="AG4" s="53">
        <f>'Opex Forecast'!C11</f>
        <v>170.30594174208409</v>
      </c>
      <c r="AH4" s="53">
        <f>'Opex Forecast'!C12</f>
        <v>170.87362821455773</v>
      </c>
      <c r="AI4" s="53">
        <f>'Opex Forecast'!C13</f>
        <v>171.44320697527294</v>
      </c>
      <c r="AJ4" s="53">
        <f>'Opex Forecast'!C14</f>
        <v>172.01468433185715</v>
      </c>
      <c r="AK4" s="53">
        <f>'Opex Forecast'!C15</f>
        <v>172.58806661296339</v>
      </c>
      <c r="AL4" s="54">
        <f>SUM(B4:M4)</f>
        <v>1504.4942476159931</v>
      </c>
      <c r="AM4" s="54">
        <f>SUM(N4:Y4)</f>
        <v>1785.9818899929935</v>
      </c>
      <c r="AN4" s="54">
        <f>SUM(Z4:AK4)</f>
        <v>2033.6295361019729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</row>
    <row r="5" spans="1:51">
      <c r="A5" s="19" t="s">
        <v>113</v>
      </c>
      <c r="B5" s="53">
        <f>SUMIFS(Actuals!$J$4:$J$123,Actuals!$A$4:$A$123,B$3)</f>
        <v>59.963999999999999</v>
      </c>
      <c r="C5" s="53">
        <f>SUMIFS(Actuals!$J$4:$J$123,Actuals!$A$4:$A$123,C$3)</f>
        <v>60.674999999999997</v>
      </c>
      <c r="D5" s="53">
        <f>SUMIFS(Actuals!$J$4:$J$123,Actuals!$A$4:$A$123,D$3)</f>
        <v>61.198</v>
      </c>
      <c r="E5" s="53">
        <f>SUMIFS(Actuals!$J$4:$J$123,Actuals!$A$4:$A$123,E$3)</f>
        <v>61.789000000000001</v>
      </c>
      <c r="F5" s="53">
        <f>SUMIFS(Actuals!$J$4:$J$123,Actuals!$A$4:$A$123,F$3)</f>
        <v>62.096999999999994</v>
      </c>
      <c r="G5" s="53">
        <f>SUMIFS(Actuals!$J$4:$J$123,Actuals!$A$4:$A$123,G$3)</f>
        <v>62.807999999999993</v>
      </c>
      <c r="H5" s="53">
        <f>SUMIFS(Actuals!$J$4:$J$123,Actuals!$A$4:$A$123,H$3)</f>
        <v>63.330999999999996</v>
      </c>
      <c r="I5" s="53">
        <f>SUMIFS(Actuals!$J$4:$J$123,Actuals!$A$4:$A$123,I$3)</f>
        <v>64.042000000000002</v>
      </c>
      <c r="J5" s="53">
        <f>SUMIFS(Actuals!$J$4:$J$123,Actuals!$A$4:$A$123,J$3)</f>
        <v>64.564999999999998</v>
      </c>
      <c r="K5" s="53">
        <f>SUMIFS(Actuals!$J$4:$J$123,Actuals!$A$4:$A$123,K$3)</f>
        <v>65.156000000000006</v>
      </c>
      <c r="L5" s="53">
        <f>SUMIFS(Actuals!$J$4:$J$123,Actuals!$A$4:$A$123,L$3)</f>
        <v>65.573999999999998</v>
      </c>
      <c r="M5" s="53">
        <f>SUMIFS(Actuals!$J$4:$J$123,Actuals!$A$4:$A$123,M$3)</f>
        <v>66.284999999999997</v>
      </c>
      <c r="N5" s="53">
        <f>SUMIFS(Actuals!$J$4:$J$123,Actuals!$A$4:$A$123,N$3)</f>
        <v>70.699879999999993</v>
      </c>
      <c r="O5" s="53">
        <f>SUMIFS(Actuals!$J$4:$J$123,Actuals!$A$4:$A$123,O$3)</f>
        <v>71.453540000000004</v>
      </c>
      <c r="P5" s="53">
        <f>SUMIFS(Actuals!$J$4:$J$123,Actuals!$A$4:$A$123,P$3)</f>
        <v>72.007920000000013</v>
      </c>
      <c r="Q5" s="53">
        <f>SUMIFS(Actuals!$J$4:$J$123,Actuals!$A$4:$A$123,Q$3)</f>
        <v>72.634380000000007</v>
      </c>
      <c r="R5" s="53">
        <f>SUMIFS(Actuals!$J$4:$J$123,Actuals!$A$4:$A$123,R$3)</f>
        <v>73.179220000000001</v>
      </c>
      <c r="S5" s="53">
        <f>SUMIFS(Actuals!$J$4:$J$123,Actuals!$A$4:$A$123,S$3)</f>
        <v>73.831119999999999</v>
      </c>
      <c r="T5" s="53">
        <f>SUMIFS(Actuals!$J$4:$J$123,Actuals!$A$4:$A$123,T$3)</f>
        <v>74.487260000000006</v>
      </c>
      <c r="U5" s="53">
        <f>SUMIFS(Actuals!$J$4:$J$123,Actuals!$A$4:$A$123,U$3)</f>
        <v>75.022559999999999</v>
      </c>
      <c r="V5" s="53">
        <f>SUMIFS(Actuals!$J$4:$J$123,Actuals!$A$4:$A$123,V$3)</f>
        <v>75.678700000000006</v>
      </c>
      <c r="W5" s="53">
        <f>SUMIFS(Actuals!$J$4:$J$123,Actuals!$A$4:$A$123,W$3)</f>
        <v>76.203400000000002</v>
      </c>
      <c r="X5" s="53">
        <f>SUMIFS(Actuals!$J$4:$J$123,Actuals!$A$4:$A$123,X$3)</f>
        <v>76.845760000000013</v>
      </c>
      <c r="Y5" s="53">
        <f>SUMIFS(Actuals!$J$4:$J$123,Actuals!$A$4:$A$123,Y$3)</f>
        <v>77.400140000000007</v>
      </c>
      <c r="Z5" s="53">
        <f>'Opex Forecast'!H4</f>
        <v>83.269050833333353</v>
      </c>
      <c r="AA5" s="53">
        <f>'Opex Forecast'!H5</f>
        <v>83.546614336111105</v>
      </c>
      <c r="AB5" s="53">
        <f>'Opex Forecast'!H6</f>
        <v>83.82510305056482</v>
      </c>
      <c r="AC5" s="53">
        <f>'Opex Forecast'!H7</f>
        <v>84.104520060733364</v>
      </c>
      <c r="AD5" s="53">
        <f>'Opex Forecast'!H8</f>
        <v>84.384868460935806</v>
      </c>
      <c r="AE5" s="53">
        <f>'Opex Forecast'!H9</f>
        <v>84.666151355805596</v>
      </c>
      <c r="AF5" s="53">
        <f>'Opex Forecast'!H10</f>
        <v>84.948371860324954</v>
      </c>
      <c r="AG5" s="53">
        <f>'Opex Forecast'!H11</f>
        <v>85.231533099859348</v>
      </c>
      <c r="AH5" s="53">
        <f>'Opex Forecast'!H12</f>
        <v>85.515638210192222</v>
      </c>
      <c r="AI5" s="53">
        <f>'Opex Forecast'!H13</f>
        <v>85.80069033755953</v>
      </c>
      <c r="AJ5" s="53">
        <f>'Opex Forecast'!H14</f>
        <v>86.086692638684724</v>
      </c>
      <c r="AK5" s="53">
        <f>'Opex Forecast'!H15</f>
        <v>86.373648280813697</v>
      </c>
      <c r="AL5" s="54">
        <f>SUM(B5:M5)</f>
        <v>757.48399999999992</v>
      </c>
      <c r="AM5" s="54">
        <f>SUM(N5:Y5)</f>
        <v>889.44388000000004</v>
      </c>
      <c r="AN5" s="54">
        <f>SUM(Z5:AK5)</f>
        <v>1017.7528825249186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>
      <c r="A6" s="19" t="s">
        <v>114</v>
      </c>
      <c r="B6" s="53">
        <f>SUMIFS(Actuals!$K$4:$K$123,Actuals!$A$4:$A$123,B$3)</f>
        <v>8.5062605472640236</v>
      </c>
      <c r="C6" s="53">
        <f>SUMIFS(Actuals!$K$4:$K$123,Actuals!$A$4:$A$123,C$3)</f>
        <v>8.597235915224573</v>
      </c>
      <c r="D6" s="53">
        <f>SUMIFS(Actuals!$K$4:$K$123,Actuals!$A$4:$A$123,D$3)</f>
        <v>8.7384994605271871</v>
      </c>
      <c r="E6" s="53">
        <f>SUMIFS(Actuals!$K$4:$K$123,Actuals!$A$4:$A$123,E$3)</f>
        <v>8.589677366473051</v>
      </c>
      <c r="F6" s="53">
        <f>SUMIFS(Actuals!$K$4:$K$123,Actuals!$A$4:$A$123,F$3)</f>
        <v>8.9539694581496079</v>
      </c>
      <c r="G6" s="53">
        <f>SUMIFS(Actuals!$K$4:$K$123,Actuals!$A$4:$A$123,G$3)</f>
        <v>9.1083197440693162</v>
      </c>
      <c r="H6" s="53">
        <f>SUMIFS(Actuals!$K$4:$K$123,Actuals!$A$4:$A$123,H$3)</f>
        <v>9.2067876422688428</v>
      </c>
      <c r="I6" s="53">
        <f>SUMIFS(Actuals!$K$4:$K$123,Actuals!$A$4:$A$123,I$3)</f>
        <v>9.3639501185460094</v>
      </c>
      <c r="J6" s="53">
        <f>SUMIFS(Actuals!$K$4:$K$123,Actuals!$A$4:$A$123,J$3)</f>
        <v>9.6741185769314413</v>
      </c>
      <c r="K6" s="53">
        <f>SUMIFS(Actuals!$K$4:$K$123,Actuals!$A$4:$A$123,K$3)</f>
        <v>9.8227694200845797</v>
      </c>
      <c r="L6" s="53">
        <f>SUMIFS(Actuals!$K$4:$K$123,Actuals!$A$4:$A$123,L$3)</f>
        <v>9.6909476162743218</v>
      </c>
      <c r="M6" s="53">
        <f>SUMIFS(Actuals!$K$4:$K$123,Actuals!$A$4:$A$123,M$3)</f>
        <v>9.5481099488714101</v>
      </c>
      <c r="N6" s="53">
        <f>SUMIFS(Actuals!$K$4:$K$123,Actuals!$A$4:$A$123,N$3)</f>
        <v>10.204292870300264</v>
      </c>
      <c r="O6" s="53">
        <f>SUMIFS(Actuals!$K$4:$K$123,Actuals!$A$4:$A$123,O$3)</f>
        <v>10.33604942959261</v>
      </c>
      <c r="P6" s="53">
        <f>SUMIFS(Actuals!$K$4:$K$123,Actuals!$A$4:$A$123,P$3)</f>
        <v>10.48160234812425</v>
      </c>
      <c r="Q6" s="53">
        <f>SUMIFS(Actuals!$K$4:$K$123,Actuals!$A$4:$A$123,Q$3)</f>
        <v>10.183488799156089</v>
      </c>
      <c r="R6" s="53">
        <f>SUMIFS(Actuals!$K$4:$K$123,Actuals!$A$4:$A$123,R$3)</f>
        <v>10.636260681832379</v>
      </c>
      <c r="S6" s="53">
        <f>SUMIFS(Actuals!$K$4:$K$123,Actuals!$A$4:$A$123,S$3)</f>
        <v>10.790680687790028</v>
      </c>
      <c r="T6" s="53">
        <f>SUMIFS(Actuals!$K$4:$K$123,Actuals!$A$4:$A$123,T$3)</f>
        <v>11.002478009100027</v>
      </c>
      <c r="U6" s="53">
        <f>SUMIFS(Actuals!$K$4:$K$123,Actuals!$A$4:$A$123,U$3)</f>
        <v>11.099768162615399</v>
      </c>
      <c r="V6" s="53">
        <f>SUMIFS(Actuals!$K$4:$K$123,Actuals!$A$4:$A$123,V$3)</f>
        <v>11.414951677556669</v>
      </c>
      <c r="W6" s="53">
        <f>SUMIFS(Actuals!$K$4:$K$123,Actuals!$A$4:$A$123,W$3)</f>
        <v>11.530443693034799</v>
      </c>
      <c r="X6" s="53">
        <f>SUMIFS(Actuals!$K$4:$K$123,Actuals!$A$4:$A$123,X$3)</f>
        <v>11.521489948524078</v>
      </c>
      <c r="Y6" s="53">
        <f>SUMIFS(Actuals!$K$4:$K$123,Actuals!$A$4:$A$123,Y$3)</f>
        <v>11.305365227258665</v>
      </c>
      <c r="Z6" s="53">
        <f>'Opex Forecast'!G4</f>
        <v>12.478844628599999</v>
      </c>
      <c r="AA6" s="53">
        <f>'Opex Forecast'!G5</f>
        <v>12.520440777361999</v>
      </c>
      <c r="AB6" s="53">
        <f>'Opex Forecast'!G6</f>
        <v>12.562175579953205</v>
      </c>
      <c r="AC6" s="53">
        <f>'Opex Forecast'!G7</f>
        <v>12.604049498553049</v>
      </c>
      <c r="AD6" s="53">
        <f>'Opex Forecast'!G8</f>
        <v>12.646062996881559</v>
      </c>
      <c r="AE6" s="53">
        <f>'Opex Forecast'!G9</f>
        <v>12.688216540204499</v>
      </c>
      <c r="AF6" s="53">
        <f>'Opex Forecast'!G10</f>
        <v>12.730510595338512</v>
      </c>
      <c r="AG6" s="53">
        <f>'Opex Forecast'!G11</f>
        <v>12.772945630656306</v>
      </c>
      <c r="AH6" s="53">
        <f>'Opex Forecast'!G12</f>
        <v>12.815522116091829</v>
      </c>
      <c r="AI6" s="53">
        <f>'Opex Forecast'!G13</f>
        <v>12.85824052314547</v>
      </c>
      <c r="AJ6" s="53">
        <f>'Opex Forecast'!G14</f>
        <v>12.901101324889286</v>
      </c>
      <c r="AK6" s="53">
        <f>'Opex Forecast'!G15</f>
        <v>12.944104995972253</v>
      </c>
      <c r="AL6" s="54">
        <f>SUM(B6:M6)</f>
        <v>109.80064581468439</v>
      </c>
      <c r="AM6" s="54">
        <f>SUM(N6:Y6)</f>
        <v>130.50687153488528</v>
      </c>
      <c r="AN6" s="54">
        <f>SUM(Z6:AK6)</f>
        <v>152.52221520764797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</row>
    <row r="7" spans="1:51">
      <c r="A7" s="55" t="s">
        <v>115</v>
      </c>
      <c r="B7" s="56">
        <f t="shared" ref="B7:AK7" si="0">B4-B5-B6</f>
        <v>48.141856199902691</v>
      </c>
      <c r="C7" s="56">
        <f t="shared" si="0"/>
        <v>48.571863798011961</v>
      </c>
      <c r="D7" s="56">
        <f t="shared" si="0"/>
        <v>49.822615459607945</v>
      </c>
      <c r="E7" s="56">
        <f t="shared" si="0"/>
        <v>47.369995392354895</v>
      </c>
      <c r="F7" s="56">
        <f t="shared" si="0"/>
        <v>51.700043348566346</v>
      </c>
      <c r="G7" s="56">
        <f t="shared" si="0"/>
        <v>52.85668531839157</v>
      </c>
      <c r="H7" s="56">
        <f t="shared" si="0"/>
        <v>53.628895461076041</v>
      </c>
      <c r="I7" s="56">
        <f t="shared" si="0"/>
        <v>54.864762464601874</v>
      </c>
      <c r="J7" s="56">
        <f t="shared" si="0"/>
        <v>58.276806709897336</v>
      </c>
      <c r="K7" s="56">
        <f t="shared" si="0"/>
        <v>59.577117123013792</v>
      </c>
      <c r="L7" s="56">
        <f t="shared" si="0"/>
        <v>57.50141189007963</v>
      </c>
      <c r="M7" s="56">
        <f t="shared" si="0"/>
        <v>54.897548635804711</v>
      </c>
      <c r="N7" s="56">
        <f t="shared" si="0"/>
        <v>58.834665260098248</v>
      </c>
      <c r="O7" s="56">
        <f t="shared" si="0"/>
        <v>59.719961503603884</v>
      </c>
      <c r="P7" s="56">
        <f t="shared" si="0"/>
        <v>60.96000318927387</v>
      </c>
      <c r="Q7" s="56">
        <f t="shared" si="0"/>
        <v>56.601907331482259</v>
      </c>
      <c r="R7" s="56">
        <f t="shared" si="0"/>
        <v>61.747466124246955</v>
      </c>
      <c r="S7" s="56">
        <f t="shared" si="0"/>
        <v>63.059772993079179</v>
      </c>
      <c r="T7" s="56">
        <f t="shared" si="0"/>
        <v>65.125243189277668</v>
      </c>
      <c r="U7" s="56">
        <f t="shared" si="0"/>
        <v>65.783262412425714</v>
      </c>
      <c r="V7" s="56">
        <f t="shared" si="0"/>
        <v>69.053874423013369</v>
      </c>
      <c r="W7" s="56">
        <f t="shared" si="0"/>
        <v>70.006949761341474</v>
      </c>
      <c r="X7" s="56">
        <f t="shared" si="0"/>
        <v>69.245165751641622</v>
      </c>
      <c r="Y7" s="56">
        <f t="shared" si="0"/>
        <v>65.892866518624174</v>
      </c>
      <c r="Z7" s="56">
        <f t="shared" si="0"/>
        <v>70.636699586066641</v>
      </c>
      <c r="AA7" s="56">
        <f t="shared" si="0"/>
        <v>70.872155251353561</v>
      </c>
      <c r="AB7" s="56">
        <f t="shared" si="0"/>
        <v>71.108395768858045</v>
      </c>
      <c r="AC7" s="56">
        <f t="shared" si="0"/>
        <v>71.34542375475425</v>
      </c>
      <c r="AD7" s="56">
        <f t="shared" si="0"/>
        <v>71.583241833936768</v>
      </c>
      <c r="AE7" s="56">
        <f t="shared" si="0"/>
        <v>71.821852640049897</v>
      </c>
      <c r="AF7" s="56">
        <f t="shared" si="0"/>
        <v>72.061258815516695</v>
      </c>
      <c r="AG7" s="56">
        <f t="shared" si="0"/>
        <v>72.30146301156843</v>
      </c>
      <c r="AH7" s="56">
        <f t="shared" si="0"/>
        <v>72.542467888273677</v>
      </c>
      <c r="AI7" s="56">
        <f t="shared" si="0"/>
        <v>72.784276114567945</v>
      </c>
      <c r="AJ7" s="56">
        <f t="shared" si="0"/>
        <v>73.026890368283148</v>
      </c>
      <c r="AK7" s="56">
        <f t="shared" si="0"/>
        <v>73.270313336177438</v>
      </c>
      <c r="AL7" s="56">
        <f>AL4-AL5-AL6</f>
        <v>637.20960180130885</v>
      </c>
      <c r="AM7" s="56">
        <f>AM4-AM5-AM6</f>
        <v>766.03113845810822</v>
      </c>
      <c r="AN7" s="56">
        <f>AN4-AN5-AN6</f>
        <v>863.35443836940635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</row>
    <row r="8" spans="1:51">
      <c r="A8" s="55" t="s">
        <v>34</v>
      </c>
      <c r="B8" s="57">
        <f t="shared" ref="B8:AK8" si="1">IFERROR(B7/B4,0)</f>
        <v>0.41283751245405964</v>
      </c>
      <c r="C8" s="57">
        <f t="shared" si="1"/>
        <v>0.41217051949318978</v>
      </c>
      <c r="D8" s="57">
        <f t="shared" si="1"/>
        <v>0.41602357776970555</v>
      </c>
      <c r="E8" s="57">
        <f t="shared" si="1"/>
        <v>0.40229748907130192</v>
      </c>
      <c r="F8" s="57">
        <f t="shared" si="1"/>
        <v>0.42117814074555426</v>
      </c>
      <c r="G8" s="57">
        <f t="shared" si="1"/>
        <v>0.4236227643305675</v>
      </c>
      <c r="H8" s="57">
        <f t="shared" si="1"/>
        <v>0.42506384523993446</v>
      </c>
      <c r="I8" s="57">
        <f t="shared" si="1"/>
        <v>0.4277263403291483</v>
      </c>
      <c r="J8" s="57">
        <f t="shared" si="1"/>
        <v>0.43977209972128289</v>
      </c>
      <c r="K8" s="57">
        <f t="shared" si="1"/>
        <v>0.44276856742295839</v>
      </c>
      <c r="L8" s="57">
        <f t="shared" si="1"/>
        <v>0.43310227156848208</v>
      </c>
      <c r="M8" s="57">
        <f t="shared" si="1"/>
        <v>0.41992864742012126</v>
      </c>
      <c r="N8" s="57">
        <f t="shared" si="1"/>
        <v>0.42103302165140499</v>
      </c>
      <c r="O8" s="57">
        <f t="shared" si="1"/>
        <v>0.42202071245209694</v>
      </c>
      <c r="P8" s="57">
        <f t="shared" si="1"/>
        <v>0.42495785859801427</v>
      </c>
      <c r="Q8" s="57">
        <f t="shared" si="1"/>
        <v>0.40598191233964864</v>
      </c>
      <c r="R8" s="57">
        <f t="shared" si="1"/>
        <v>0.42419769233242888</v>
      </c>
      <c r="S8" s="57">
        <f t="shared" si="1"/>
        <v>0.42699824643897327</v>
      </c>
      <c r="T8" s="57">
        <f t="shared" si="1"/>
        <v>0.43239552049274593</v>
      </c>
      <c r="U8" s="57">
        <f t="shared" si="1"/>
        <v>0.43305359706250501</v>
      </c>
      <c r="V8" s="57">
        <f t="shared" si="1"/>
        <v>0.44223482848225076</v>
      </c>
      <c r="W8" s="57">
        <f t="shared" si="1"/>
        <v>0.44381005210037655</v>
      </c>
      <c r="X8" s="57">
        <f t="shared" si="1"/>
        <v>0.4393382681436106</v>
      </c>
      <c r="Y8" s="57">
        <f t="shared" si="1"/>
        <v>0.42621966696346519</v>
      </c>
      <c r="Z8" s="57">
        <f t="shared" si="1"/>
        <v>0.42453869942520089</v>
      </c>
      <c r="AA8" s="57">
        <f t="shared" si="1"/>
        <v>0.42453869942520112</v>
      </c>
      <c r="AB8" s="57">
        <f t="shared" si="1"/>
        <v>0.42453869942520095</v>
      </c>
      <c r="AC8" s="57">
        <f t="shared" si="1"/>
        <v>0.424538699425201</v>
      </c>
      <c r="AD8" s="57">
        <f t="shared" si="1"/>
        <v>0.42453869942520106</v>
      </c>
      <c r="AE8" s="57">
        <f t="shared" si="1"/>
        <v>0.42453869942520106</v>
      </c>
      <c r="AF8" s="57">
        <f t="shared" si="1"/>
        <v>0.42453869942520089</v>
      </c>
      <c r="AG8" s="57">
        <f t="shared" si="1"/>
        <v>0.424538699425201</v>
      </c>
      <c r="AH8" s="57">
        <f t="shared" si="1"/>
        <v>0.42453869942520106</v>
      </c>
      <c r="AI8" s="57">
        <f t="shared" si="1"/>
        <v>0.42453869942520112</v>
      </c>
      <c r="AJ8" s="57">
        <f t="shared" si="1"/>
        <v>0.42453869942520106</v>
      </c>
      <c r="AK8" s="57">
        <f t="shared" si="1"/>
        <v>0.42453869942520106</v>
      </c>
      <c r="AL8" s="57">
        <f t="shared" ref="AL8:AM8" si="2">IFERROR(AL7/AL4,0)</f>
        <v>0.42353741319451699</v>
      </c>
      <c r="AM8" s="57">
        <f t="shared" si="2"/>
        <v>0.42891316129813239</v>
      </c>
      <c r="AN8" s="57">
        <f>AN7/AN4</f>
        <v>0.42453869942520095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>
      <c r="A9" s="19" t="s">
        <v>116</v>
      </c>
      <c r="B9" s="53">
        <f>SUMIFS(Actuals!$L$4:$L$123,Actuals!$A$4:$A$123,B$3)</f>
        <v>5.0999999999999996</v>
      </c>
      <c r="C9" s="53">
        <f>SUMIFS(Actuals!$L$4:$L$123,Actuals!$A$4:$A$123,C$3)</f>
        <v>5.1599999999999993</v>
      </c>
      <c r="D9" s="53">
        <f>SUMIFS(Actuals!$L$4:$L$123,Actuals!$A$4:$A$123,D$3)</f>
        <v>5.2050000000000001</v>
      </c>
      <c r="E9" s="53">
        <f>SUMIFS(Actuals!$L$4:$L$123,Actuals!$A$4:$A$123,E$3)</f>
        <v>5.2539999999999996</v>
      </c>
      <c r="F9" s="53">
        <f>SUMIFS(Actuals!$L$4:$L$123,Actuals!$A$4:$A$123,F$3)</f>
        <v>5.28</v>
      </c>
      <c r="G9" s="53">
        <f>SUMIFS(Actuals!$L$4:$L$123,Actuals!$A$4:$A$123,G$3)</f>
        <v>5.34</v>
      </c>
      <c r="H9" s="53">
        <f>SUMIFS(Actuals!$L$4:$L$123,Actuals!$A$4:$A$123,H$3)</f>
        <v>5.3850000000000007</v>
      </c>
      <c r="I9" s="53">
        <f>SUMIFS(Actuals!$L$4:$L$123,Actuals!$A$4:$A$123,I$3)</f>
        <v>5.4450000000000003</v>
      </c>
      <c r="J9" s="53">
        <f>SUMIFS(Actuals!$L$4:$L$123,Actuals!$A$4:$A$123,J$3)</f>
        <v>5.49</v>
      </c>
      <c r="K9" s="53">
        <f>SUMIFS(Actuals!$L$4:$L$123,Actuals!$A$4:$A$123,K$3)</f>
        <v>5.5389999999999997</v>
      </c>
      <c r="L9" s="53">
        <f>SUMIFS(Actuals!$L$4:$L$123,Actuals!$A$4:$A$123,L$3)</f>
        <v>5.5750000000000002</v>
      </c>
      <c r="M9" s="53">
        <f>SUMIFS(Actuals!$L$4:$L$123,Actuals!$A$4:$A$123,M$3)</f>
        <v>5.6349999999999998</v>
      </c>
      <c r="N9" s="53">
        <f>SUMIFS(Actuals!$L$4:$L$123,Actuals!$A$4:$A$123,N$3)</f>
        <v>5.9535000000000009</v>
      </c>
      <c r="O9" s="53">
        <f>SUMIFS(Actuals!$L$4:$L$123,Actuals!$A$4:$A$123,O$3)</f>
        <v>6.0165000000000006</v>
      </c>
      <c r="P9" s="53">
        <f>SUMIFS(Actuals!$L$4:$L$123,Actuals!$A$4:$A$123,P$3)</f>
        <v>6.0637500000000006</v>
      </c>
      <c r="Q9" s="53">
        <f>SUMIFS(Actuals!$L$4:$L$123,Actuals!$A$4:$A$123,Q$3)</f>
        <v>6.1151999999999997</v>
      </c>
      <c r="R9" s="53">
        <f>SUMIFS(Actuals!$L$4:$L$123,Actuals!$A$4:$A$123,R$3)</f>
        <v>6.1613999999999995</v>
      </c>
      <c r="S9" s="53">
        <f>SUMIFS(Actuals!$L$4:$L$123,Actuals!$A$4:$A$123,S$3)</f>
        <v>6.2160000000000011</v>
      </c>
      <c r="T9" s="53">
        <f>SUMIFS(Actuals!$L$4:$L$123,Actuals!$A$4:$A$123,T$3)</f>
        <v>6.2716499999999993</v>
      </c>
      <c r="U9" s="53">
        <f>SUMIFS(Actuals!$L$4:$L$123,Actuals!$A$4:$A$123,U$3)</f>
        <v>6.3157500000000004</v>
      </c>
      <c r="V9" s="53">
        <f>SUMIFS(Actuals!$L$4:$L$123,Actuals!$A$4:$A$123,V$3)</f>
        <v>6.3713999999999995</v>
      </c>
      <c r="W9" s="53">
        <f>SUMIFS(Actuals!$L$4:$L$123,Actuals!$A$4:$A$123,W$3)</f>
        <v>6.4144499999999995</v>
      </c>
      <c r="X9" s="53">
        <f>SUMIFS(Actuals!$L$4:$L$123,Actuals!$A$4:$A$123,X$3)</f>
        <v>6.468</v>
      </c>
      <c r="Y9" s="53">
        <f>SUMIFS(Actuals!$L$4:$L$123,Actuals!$A$4:$A$123,Y$3)</f>
        <v>6.51525</v>
      </c>
      <c r="Z9" s="53">
        <f>'Opex Forecast'!D4</f>
        <v>7.178193750000001</v>
      </c>
      <c r="AA9" s="53">
        <f>'Opex Forecast'!D5</f>
        <v>7.2021210624999998</v>
      </c>
      <c r="AB9" s="53">
        <f>'Opex Forecast'!D6</f>
        <v>7.2261281327083333</v>
      </c>
      <c r="AC9" s="53">
        <f>'Opex Forecast'!D7</f>
        <v>7.2502152264840287</v>
      </c>
      <c r="AD9" s="53">
        <f>'Opex Forecast'!D8</f>
        <v>7.2743826105723075</v>
      </c>
      <c r="AE9" s="53">
        <f>'Opex Forecast'!D9</f>
        <v>7.2986305526075483</v>
      </c>
      <c r="AF9" s="53">
        <f>'Opex Forecast'!D10</f>
        <v>7.3229593211162411</v>
      </c>
      <c r="AG9" s="53">
        <f>'Opex Forecast'!D11</f>
        <v>7.3473691855199608</v>
      </c>
      <c r="AH9" s="53">
        <f>'Opex Forecast'!D12</f>
        <v>7.371860416138361</v>
      </c>
      <c r="AI9" s="53">
        <f>'Opex Forecast'!D13</f>
        <v>7.3964332841921543</v>
      </c>
      <c r="AJ9" s="53">
        <f>'Opex Forecast'!D14</f>
        <v>7.4210880618061292</v>
      </c>
      <c r="AK9" s="53">
        <f>'Opex Forecast'!D15</f>
        <v>7.4458250220121505</v>
      </c>
      <c r="AL9" s="54">
        <f>SUM(B9:M9)</f>
        <v>64.408000000000001</v>
      </c>
      <c r="AM9" s="54">
        <f>SUM(N9:Y9)</f>
        <v>74.882850000000005</v>
      </c>
      <c r="AN9" s="54">
        <f>SUM(Z9:AK9)</f>
        <v>87.735206625657213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>
      <c r="A10" s="19" t="s">
        <v>117</v>
      </c>
      <c r="B10" s="53">
        <f>SUMIFS(Actuals!$M$4:$M$123,Actuals!$A$4:$A$123,B$3)</f>
        <v>3.2174999999999998</v>
      </c>
      <c r="C10" s="53">
        <f>SUMIFS(Actuals!$M$4:$M$123,Actuals!$A$4:$A$123,C$3)</f>
        <v>3.2560000000000002</v>
      </c>
      <c r="D10" s="53">
        <f>SUMIFS(Actuals!$M$4:$M$123,Actuals!$A$4:$A$123,D$3)</f>
        <v>3.2835000000000001</v>
      </c>
      <c r="E10" s="53">
        <f>SUMIFS(Actuals!$M$4:$M$123,Actuals!$A$4:$A$123,E$3)</f>
        <v>3.3164999999999996</v>
      </c>
      <c r="F10" s="53">
        <f>SUMIFS(Actuals!$M$4:$M$123,Actuals!$A$4:$A$123,F$3)</f>
        <v>3.3329999999999997</v>
      </c>
      <c r="G10" s="53">
        <f>SUMIFS(Actuals!$M$4:$M$123,Actuals!$A$4:$A$123,G$3)</f>
        <v>3.3714999999999997</v>
      </c>
      <c r="H10" s="53">
        <f>SUMIFS(Actuals!$M$4:$M$123,Actuals!$A$4:$A$123,H$3)</f>
        <v>3.399</v>
      </c>
      <c r="I10" s="53">
        <f>SUMIFS(Actuals!$M$4:$M$123,Actuals!$A$4:$A$123,I$3)</f>
        <v>3.4375</v>
      </c>
      <c r="J10" s="53">
        <f>SUMIFS(Actuals!$M$4:$M$123,Actuals!$A$4:$A$123,J$3)</f>
        <v>3.4649999999999999</v>
      </c>
      <c r="K10" s="53">
        <f>SUMIFS(Actuals!$M$4:$M$123,Actuals!$A$4:$A$123,K$3)</f>
        <v>3.4979999999999998</v>
      </c>
      <c r="L10" s="53">
        <f>SUMIFS(Actuals!$M$4:$M$123,Actuals!$A$4:$A$123,L$3)</f>
        <v>3.5199999999999996</v>
      </c>
      <c r="M10" s="53">
        <f>SUMIFS(Actuals!$M$4:$M$123,Actuals!$A$4:$A$123,M$3)</f>
        <v>3.5585</v>
      </c>
      <c r="N10" s="53">
        <f>SUMIFS(Actuals!$M$4:$M$123,Actuals!$A$4:$A$123,N$3)</f>
        <v>3.5804999999999998</v>
      </c>
      <c r="O10" s="53">
        <f>SUMIFS(Actuals!$M$4:$M$123,Actuals!$A$4:$A$123,O$3)</f>
        <v>3.6189999999999993</v>
      </c>
      <c r="P10" s="53">
        <f>SUMIFS(Actuals!$M$4:$M$123,Actuals!$A$4:$A$123,P$3)</f>
        <v>3.6464999999999996</v>
      </c>
      <c r="Q10" s="53">
        <f>SUMIFS(Actuals!$M$4:$M$123,Actuals!$A$4:$A$123,Q$3)</f>
        <v>3.6795</v>
      </c>
      <c r="R10" s="53">
        <f>SUMIFS(Actuals!$M$4:$M$123,Actuals!$A$4:$A$123,R$3)</f>
        <v>3.7070000000000003</v>
      </c>
      <c r="S10" s="53">
        <f>SUMIFS(Actuals!$M$4:$M$123,Actuals!$A$4:$A$123,S$3)</f>
        <v>3.74</v>
      </c>
      <c r="T10" s="53">
        <f>SUMIFS(Actuals!$M$4:$M$123,Actuals!$A$4:$A$123,T$3)</f>
        <v>3.7729999999999992</v>
      </c>
      <c r="U10" s="53">
        <f>SUMIFS(Actuals!$M$4:$M$123,Actuals!$A$4:$A$123,U$3)</f>
        <v>3.8005</v>
      </c>
      <c r="V10" s="53">
        <f>SUMIFS(Actuals!$M$4:$M$123,Actuals!$A$4:$A$123,V$3)</f>
        <v>3.8334999999999999</v>
      </c>
      <c r="W10" s="53">
        <f>SUMIFS(Actuals!$M$4:$M$123,Actuals!$A$4:$A$123,W$3)</f>
        <v>3.8609999999999998</v>
      </c>
      <c r="X10" s="53">
        <f>SUMIFS(Actuals!$M$4:$M$123,Actuals!$A$4:$A$123,X$3)</f>
        <v>3.8939999999999997</v>
      </c>
      <c r="Y10" s="53">
        <f>SUMIFS(Actuals!$M$4:$M$123,Actuals!$A$4:$A$123,Y$3)</f>
        <v>3.9214999999999995</v>
      </c>
      <c r="Z10" s="53">
        <f>'Opex Forecast'!E4</f>
        <v>4.4173499999999999</v>
      </c>
      <c r="AA10" s="53">
        <f>'Opex Forecast'!E5</f>
        <v>4.4320744999999997</v>
      </c>
      <c r="AB10" s="53">
        <f>'Opex Forecast'!E6</f>
        <v>4.4468480816666673</v>
      </c>
      <c r="AC10" s="53">
        <f>'Opex Forecast'!E7</f>
        <v>4.4616709086055568</v>
      </c>
      <c r="AD10" s="53">
        <f>'Opex Forecast'!E8</f>
        <v>4.4765431449675734</v>
      </c>
      <c r="AE10" s="53">
        <f>'Opex Forecast'!E9</f>
        <v>4.491464955450799</v>
      </c>
      <c r="AF10" s="53">
        <f>'Opex Forecast'!E10</f>
        <v>4.5064365053023012</v>
      </c>
      <c r="AG10" s="53">
        <f>'Opex Forecast'!E11</f>
        <v>4.5214579603199754</v>
      </c>
      <c r="AH10" s="53">
        <f>'Opex Forecast'!E12</f>
        <v>4.5365294868543762</v>
      </c>
      <c r="AI10" s="53">
        <f>'Opex Forecast'!E13</f>
        <v>4.551651251810557</v>
      </c>
      <c r="AJ10" s="53">
        <f>'Opex Forecast'!E14</f>
        <v>4.5668234226499269</v>
      </c>
      <c r="AK10" s="53">
        <f>'Opex Forecast'!E15</f>
        <v>4.5820461673920931</v>
      </c>
      <c r="AL10" s="54">
        <f>SUM(B10:M10)</f>
        <v>40.655999999999999</v>
      </c>
      <c r="AM10" s="54">
        <f>SUM(N10:Y10)</f>
        <v>45.05599999999999</v>
      </c>
      <c r="AN10" s="54">
        <f>SUM(Z10:AK10)</f>
        <v>53.990896385019823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>
      <c r="A11" s="19" t="s">
        <v>118</v>
      </c>
      <c r="B11" s="53">
        <f>SUMIFS(Actuals!$N$4:$N$123,Actuals!$A$4:$A$123,B$3)+SUMIFS(Actuals!$O$4:$O$123,Actuals!$A$4:$A$123,B$3)+SUMIFS(Actuals!$P$4:$P$123,Actuals!$A$4:$A$123,B$3)</f>
        <v>4.1980362028980016</v>
      </c>
      <c r="C11" s="53">
        <f>SUMIFS(Actuals!$N$4:$N$123,Actuals!$A$4:$A$123,C$3)+SUMIFS(Actuals!$O$4:$O$123,Actuals!$A$4:$A$123,C$3)+SUMIFS(Actuals!$P$4:$P$123,Actuals!$A$4:$A$123,C$3)</f>
        <v>4.5959198888162245</v>
      </c>
      <c r="D11" s="53">
        <f>SUMIFS(Actuals!$N$4:$N$123,Actuals!$A$4:$A$123,D$3)+SUMIFS(Actuals!$O$4:$O$123,Actuals!$A$4:$A$123,D$3)+SUMIFS(Actuals!$P$4:$P$123,Actuals!$A$4:$A$123,D$3)</f>
        <v>4.6706054818852705</v>
      </c>
      <c r="E11" s="53">
        <f>SUMIFS(Actuals!$N$4:$N$123,Actuals!$A$4:$A$123,E$3)+SUMIFS(Actuals!$O$4:$O$123,Actuals!$A$4:$A$123,E$3)+SUMIFS(Actuals!$P$4:$P$123,Actuals!$A$4:$A$123,E$3)</f>
        <v>4.2389522193178069</v>
      </c>
      <c r="F11" s="53">
        <f>SUMIFS(Actuals!$N$4:$N$123,Actuals!$A$4:$A$123,F$3)+SUMIFS(Actuals!$O$4:$O$123,Actuals!$A$4:$A$123,F$3)+SUMIFS(Actuals!$P$4:$P$123,Actuals!$A$4:$A$123,F$3)</f>
        <v>4.4190364610417747</v>
      </c>
      <c r="G11" s="53">
        <f>SUMIFS(Actuals!$N$4:$N$123,Actuals!$A$4:$A$123,G$3)+SUMIFS(Actuals!$O$4:$O$123,Actuals!$A$4:$A$123,G$3)+SUMIFS(Actuals!$P$4:$P$123,Actuals!$A$4:$A$123,G$3)</f>
        <v>4.4918281822485913</v>
      </c>
      <c r="H11" s="53">
        <f>SUMIFS(Actuals!$N$4:$N$123,Actuals!$A$4:$A$123,H$3)+SUMIFS(Actuals!$O$4:$O$123,Actuals!$A$4:$A$123,H$3)+SUMIFS(Actuals!$P$4:$P$123,Actuals!$A$4:$A$123,H$3)</f>
        <v>4.5420005917204156</v>
      </c>
      <c r="I11" s="53">
        <f>SUMIFS(Actuals!$N$4:$N$123,Actuals!$A$4:$A$123,I$3)+SUMIFS(Actuals!$O$4:$O$123,Actuals!$A$4:$A$123,I$3)+SUMIFS(Actuals!$P$4:$P$123,Actuals!$A$4:$A$123,I$3)</f>
        <v>4.6177456529933227</v>
      </c>
      <c r="J11" s="53">
        <f>SUMIFS(Actuals!$N$4:$N$123,Actuals!$A$4:$A$123,J$3)+SUMIFS(Actuals!$O$4:$O$123,Actuals!$A$4:$A$123,J$3)+SUMIFS(Actuals!$P$4:$P$123,Actuals!$A$4:$A$123,J$3)</f>
        <v>5.1681210861863214</v>
      </c>
      <c r="K11" s="53">
        <f>SUMIFS(Actuals!$N$4:$N$123,Actuals!$A$4:$A$123,K$3)+SUMIFS(Actuals!$O$4:$O$123,Actuals!$A$4:$A$123,K$3)+SUMIFS(Actuals!$P$4:$P$123,Actuals!$A$4:$A$123,K$3)</f>
        <v>5.2476795751808378</v>
      </c>
      <c r="L11" s="53">
        <f>SUMIFS(Actuals!$N$4:$N$123,Actuals!$A$4:$A$123,L$3)+SUMIFS(Actuals!$O$4:$O$123,Actuals!$A$4:$A$123,L$3)+SUMIFS(Actuals!$P$4:$P$123,Actuals!$A$4:$A$123,L$3)</f>
        <v>4.7795889422287425</v>
      </c>
      <c r="M11" s="53">
        <f>SUMIFS(Actuals!$N$4:$N$123,Actuals!$A$4:$A$123,M$3)+SUMIFS(Actuals!$O$4:$O$123,Actuals!$A$4:$A$123,M$3)+SUMIFS(Actuals!$P$4:$P$123,Actuals!$A$4:$A$123,M$3)</f>
        <v>4.7063037090483411</v>
      </c>
      <c r="N11" s="53">
        <f>SUMIFS(Actuals!$N$4:$N$123,Actuals!$A$4:$A$123,N$3)+SUMIFS(Actuals!$O$4:$O$123,Actuals!$A$4:$A$123,N$3)+SUMIFS(Actuals!$P$4:$P$123,Actuals!$A$4:$A$123,N$3)</f>
        <v>5.0305981726943454</v>
      </c>
      <c r="O11" s="53">
        <f>SUMIFS(Actuals!$N$4:$N$123,Actuals!$A$4:$A$123,O$3)+SUMIFS(Actuals!$O$4:$O$123,Actuals!$A$4:$A$123,O$3)+SUMIFS(Actuals!$P$4:$P$123,Actuals!$A$4:$A$123,O$3)</f>
        <v>5.5188724863946632</v>
      </c>
      <c r="P11" s="53">
        <f>SUMIFS(Actuals!$N$4:$N$123,Actuals!$A$4:$A$123,P$3)+SUMIFS(Actuals!$O$4:$O$123,Actuals!$A$4:$A$123,P$3)+SUMIFS(Actuals!$P$4:$P$123,Actuals!$A$4:$A$123,P$3)</f>
        <v>5.5945314959585275</v>
      </c>
      <c r="Q11" s="53">
        <f>SUMIFS(Actuals!$N$4:$N$123,Actuals!$A$4:$A$123,Q$3)+SUMIFS(Actuals!$O$4:$O$123,Actuals!$A$4:$A$123,Q$3)+SUMIFS(Actuals!$P$4:$P$123,Actuals!$A$4:$A$123,Q$3)</f>
        <v>5.0191119407029809</v>
      </c>
      <c r="R11" s="53">
        <f>SUMIFS(Actuals!$N$4:$N$123,Actuals!$A$4:$A$123,R$3)+SUMIFS(Actuals!$O$4:$O$123,Actuals!$A$4:$A$123,R$3)+SUMIFS(Actuals!$P$4:$P$123,Actuals!$A$4:$A$123,R$3)</f>
        <v>5.240266085018856</v>
      </c>
      <c r="S11" s="53">
        <f>SUMIFS(Actuals!$N$4:$N$123,Actuals!$A$4:$A$123,S$3)+SUMIFS(Actuals!$O$4:$O$123,Actuals!$A$4:$A$123,S$3)+SUMIFS(Actuals!$P$4:$P$123,Actuals!$A$4:$A$123,S$3)</f>
        <v>5.3165366525112905</v>
      </c>
      <c r="T11" s="53">
        <f>SUMIFS(Actuals!$N$4:$N$123,Actuals!$A$4:$A$123,T$3)+SUMIFS(Actuals!$O$4:$O$123,Actuals!$A$4:$A$123,T$3)+SUMIFS(Actuals!$P$4:$P$123,Actuals!$A$4:$A$123,T$3)</f>
        <v>5.4221393231415975</v>
      </c>
      <c r="U11" s="53">
        <f>SUMIFS(Actuals!$N$4:$N$123,Actuals!$A$4:$A$123,U$3)+SUMIFS(Actuals!$O$4:$O$123,Actuals!$A$4:$A$123,U$3)+SUMIFS(Actuals!$P$4:$P$123,Actuals!$A$4:$A$123,U$3)</f>
        <v>5.4686012607014796</v>
      </c>
      <c r="V11" s="53">
        <f>SUMIFS(Actuals!$N$4:$N$123,Actuals!$A$4:$A$123,V$3)+SUMIFS(Actuals!$O$4:$O$123,Actuals!$A$4:$A$123,V$3)+SUMIFS(Actuals!$P$4:$P$123,Actuals!$A$4:$A$123,V$3)</f>
        <v>6.0897535179222313</v>
      </c>
      <c r="W11" s="53">
        <f>SUMIFS(Actuals!$N$4:$N$123,Actuals!$A$4:$A$123,W$3)+SUMIFS(Actuals!$O$4:$O$123,Actuals!$A$4:$A$123,W$3)+SUMIFS(Actuals!$P$4:$P$123,Actuals!$A$4:$A$123,W$3)</f>
        <v>6.151890944720674</v>
      </c>
      <c r="X11" s="53">
        <f>SUMIFS(Actuals!$N$4:$N$123,Actuals!$A$4:$A$123,X$3)+SUMIFS(Actuals!$O$4:$O$123,Actuals!$A$4:$A$123,X$3)+SUMIFS(Actuals!$P$4:$P$123,Actuals!$A$4:$A$123,X$3)</f>
        <v>5.6740469652059655</v>
      </c>
      <c r="Y11" s="53">
        <f>SUMIFS(Actuals!$N$4:$N$123,Actuals!$A$4:$A$123,Y$3)+SUMIFS(Actuals!$O$4:$O$123,Actuals!$A$4:$A$123,Y$3)+SUMIFS(Actuals!$P$4:$P$123,Actuals!$A$4:$A$123,Y$3)</f>
        <v>5.5655413828517819</v>
      </c>
      <c r="Z11" s="53">
        <f>'Opex Forecast'!F4</f>
        <v>7.8616721160180001</v>
      </c>
      <c r="AA11" s="53">
        <f>'Opex Forecast'!F5</f>
        <v>7.88787768973806</v>
      </c>
      <c r="AB11" s="53">
        <f>'Opex Forecast'!F6</f>
        <v>7.9141706153705194</v>
      </c>
      <c r="AC11" s="53">
        <f>'Opex Forecast'!F7</f>
        <v>7.9405511840884211</v>
      </c>
      <c r="AD11" s="53">
        <f>'Opex Forecast'!F8</f>
        <v>7.9670196880353821</v>
      </c>
      <c r="AE11" s="53">
        <f>'Opex Forecast'!F9</f>
        <v>7.9935764203288349</v>
      </c>
      <c r="AF11" s="53">
        <f>'Opex Forecast'!F10</f>
        <v>8.0202216750632633</v>
      </c>
      <c r="AG11" s="53">
        <f>'Opex Forecast'!F11</f>
        <v>8.0469557473134739</v>
      </c>
      <c r="AH11" s="53">
        <f>'Opex Forecast'!F12</f>
        <v>8.0737789331378522</v>
      </c>
      <c r="AI11" s="53">
        <f>'Opex Forecast'!F13</f>
        <v>8.1006915295816473</v>
      </c>
      <c r="AJ11" s="53">
        <f>'Opex Forecast'!F14</f>
        <v>8.127693834680251</v>
      </c>
      <c r="AK11" s="53">
        <f>'Opex Forecast'!F15</f>
        <v>8.1547861474625201</v>
      </c>
      <c r="AL11" s="54">
        <f>SUM(B11:M11)</f>
        <v>55.675817993565644</v>
      </c>
      <c r="AM11" s="54">
        <f>SUM(N11:Y11)</f>
        <v>66.091890227824408</v>
      </c>
      <c r="AN11" s="54">
        <f>SUM(Z11:AK11)</f>
        <v>96.088995580818221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>
      <c r="A12" s="58" t="s">
        <v>119</v>
      </c>
      <c r="B12" s="59">
        <f>SUMIFS(Actuals!$T$4:$T$123,Actuals!$A$4:$A$123,B$3)</f>
        <v>35.6263199970047</v>
      </c>
      <c r="C12" s="59">
        <v>35.559943909195738</v>
      </c>
      <c r="D12" s="59">
        <v>36.663509977722683</v>
      </c>
      <c r="E12" s="59">
        <v>34.560543173037104</v>
      </c>
      <c r="F12" s="59">
        <v>38.668006887524569</v>
      </c>
      <c r="G12" s="59">
        <v>39.653357136142965</v>
      </c>
      <c r="H12" s="59">
        <v>40.302894869355626</v>
      </c>
      <c r="I12" s="59">
        <v>41.364516811608539</v>
      </c>
      <c r="J12" s="59">
        <v>44.153685623711013</v>
      </c>
      <c r="K12" s="59">
        <v>45.292437547832968</v>
      </c>
      <c r="L12" s="59">
        <v>43.626822947850911</v>
      </c>
      <c r="M12" s="59">
        <v>40.997744926756368</v>
      </c>
      <c r="N12" s="59">
        <v>44.270067087403888</v>
      </c>
      <c r="O12" s="59">
        <v>44.565589017209234</v>
      </c>
      <c r="P12" s="59">
        <v>45.655221693315355</v>
      </c>
      <c r="Q12" s="59">
        <v>41.78809539077929</v>
      </c>
      <c r="R12" s="59">
        <v>46.638800039228087</v>
      </c>
      <c r="S12" s="59">
        <v>47.787236340567873</v>
      </c>
      <c r="T12" s="59">
        <v>49.658453866136071</v>
      </c>
      <c r="U12" s="59">
        <v>50.198411151724223</v>
      </c>
      <c r="V12" s="59">
        <v>52.759220905091126</v>
      </c>
      <c r="W12" s="59">
        <v>53.579608816620777</v>
      </c>
      <c r="X12" s="59">
        <v>53.209118786435667</v>
      </c>
      <c r="Y12" s="59">
        <v>49.890575135772373</v>
      </c>
      <c r="Z12" s="60">
        <v>51.179483720048644</v>
      </c>
      <c r="AA12" s="60">
        <v>51.350081999115503</v>
      </c>
      <c r="AB12" s="60">
        <v>51.521248939112525</v>
      </c>
      <c r="AC12" s="60">
        <v>51.692986435576245</v>
      </c>
      <c r="AD12" s="60">
        <v>51.865296390361507</v>
      </c>
      <c r="AE12" s="60">
        <v>52.038180711662712</v>
      </c>
      <c r="AF12" s="60">
        <v>52.211641314034885</v>
      </c>
      <c r="AG12" s="60">
        <v>52.38568011841501</v>
      </c>
      <c r="AH12" s="60">
        <v>52.560299052143087</v>
      </c>
      <c r="AI12" s="60">
        <v>52.735500048983589</v>
      </c>
      <c r="AJ12" s="60">
        <v>52.911285049146841</v>
      </c>
      <c r="AK12" s="60">
        <v>53.087655999310684</v>
      </c>
      <c r="AL12" s="60">
        <v>476.46978380774323</v>
      </c>
      <c r="AM12" s="60">
        <v>580.00039823028385</v>
      </c>
      <c r="AN12" s="60">
        <f>AN7-AN9-AN10-AN11</f>
        <v>625.53933977791121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 spans="1:51">
      <c r="A13" s="58" t="s">
        <v>36</v>
      </c>
      <c r="B13" s="61">
        <f t="shared" ref="B13:AK13" si="3">IFERROR(B12/B4,0)</f>
        <v>0.30551130526382714</v>
      </c>
      <c r="C13" s="61">
        <f t="shared" si="3"/>
        <v>0.30175413105728499</v>
      </c>
      <c r="D13" s="61">
        <f t="shared" si="3"/>
        <v>0.30614379541943687</v>
      </c>
      <c r="E13" s="61">
        <f t="shared" si="3"/>
        <v>0.2935111060132608</v>
      </c>
      <c r="F13" s="61">
        <f t="shared" si="3"/>
        <v>0.31501171357674507</v>
      </c>
      <c r="G13" s="61">
        <f t="shared" si="3"/>
        <v>0.31780397623903223</v>
      </c>
      <c r="H13" s="61">
        <f t="shared" si="3"/>
        <v>0.31944166144356007</v>
      </c>
      <c r="I13" s="61">
        <f t="shared" si="3"/>
        <v>0.32247826474648417</v>
      </c>
      <c r="J13" s="61">
        <f t="shared" si="3"/>
        <v>0.33319531617155451</v>
      </c>
      <c r="K13" s="61">
        <f t="shared" si="3"/>
        <v>0.33660688292017427</v>
      </c>
      <c r="L13" s="61">
        <f t="shared" si="3"/>
        <v>0.3285984726105487</v>
      </c>
      <c r="M13" s="61">
        <f t="shared" si="3"/>
        <v>0.31360466910064205</v>
      </c>
      <c r="N13" s="61">
        <f t="shared" si="3"/>
        <v>0.31680574763397484</v>
      </c>
      <c r="O13" s="61">
        <f t="shared" si="3"/>
        <v>0.31492990206892574</v>
      </c>
      <c r="P13" s="61">
        <f t="shared" si="3"/>
        <v>0.31826680166615656</v>
      </c>
      <c r="Q13" s="61">
        <f t="shared" si="3"/>
        <v>0.29972860773799576</v>
      </c>
      <c r="R13" s="61">
        <f t="shared" si="3"/>
        <v>0.32040296698143134</v>
      </c>
      <c r="S13" s="61">
        <f t="shared" si="3"/>
        <v>0.32358293014830103</v>
      </c>
      <c r="T13" s="61">
        <f t="shared" si="3"/>
        <v>0.32970461152685754</v>
      </c>
      <c r="U13" s="61">
        <f t="shared" si="3"/>
        <v>0.33045795721998977</v>
      </c>
      <c r="V13" s="61">
        <f t="shared" si="3"/>
        <v>0.33788060702998557</v>
      </c>
      <c r="W13" s="61">
        <f t="shared" si="3"/>
        <v>0.33966869091550328</v>
      </c>
      <c r="X13" s="61">
        <f t="shared" si="3"/>
        <v>0.33759471644453531</v>
      </c>
      <c r="Y13" s="61">
        <f t="shared" si="3"/>
        <v>0.32271087057617104</v>
      </c>
      <c r="Z13" s="61">
        <f t="shared" si="3"/>
        <v>0.30759748945077497</v>
      </c>
      <c r="AA13" s="61">
        <f t="shared" si="3"/>
        <v>0.30759748945077514</v>
      </c>
      <c r="AB13" s="61">
        <f t="shared" si="3"/>
        <v>0.30759748945077497</v>
      </c>
      <c r="AC13" s="61">
        <f t="shared" si="3"/>
        <v>0.30759748945077503</v>
      </c>
      <c r="AD13" s="61">
        <f t="shared" si="3"/>
        <v>0.30759748945077514</v>
      </c>
      <c r="AE13" s="61">
        <f t="shared" si="3"/>
        <v>0.30759748945077509</v>
      </c>
      <c r="AF13" s="61">
        <f t="shared" si="3"/>
        <v>0.30759748945077492</v>
      </c>
      <c r="AG13" s="61">
        <f t="shared" si="3"/>
        <v>0.30759748945077497</v>
      </c>
      <c r="AH13" s="61">
        <f t="shared" si="3"/>
        <v>0.30759748945077509</v>
      </c>
      <c r="AI13" s="61">
        <f t="shared" si="3"/>
        <v>0.3075974894507752</v>
      </c>
      <c r="AJ13" s="61">
        <f t="shared" si="3"/>
        <v>0.30759748945077509</v>
      </c>
      <c r="AK13" s="61">
        <f t="shared" si="3"/>
        <v>0.30759748945077514</v>
      </c>
      <c r="AL13" s="61">
        <f t="shared" ref="AL13:AM13" si="4">IFERROR(AL12/AL4,0)</f>
        <v>0.31669764411711948</v>
      </c>
      <c r="AM13" s="61">
        <f t="shared" si="4"/>
        <v>0.32475155626161428</v>
      </c>
      <c r="AN13" s="61">
        <f>AN12/AN4</f>
        <v>0.30759748945077509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4" spans="1:5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</row>
    <row r="15" spans="1:5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</row>
    <row r="16" spans="1:5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</row>
    <row r="17" spans="1:5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</row>
    <row r="18" spans="1:5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</row>
    <row r="19" spans="1:5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</row>
    <row r="20" spans="1:5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</row>
    <row r="22" spans="1:5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</row>
    <row r="23" spans="1:5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</row>
    <row r="24" spans="1:5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</row>
    <row r="25" spans="1:5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</row>
    <row r="26" spans="1:5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7" spans="1:5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</row>
    <row r="28" spans="1:5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</row>
    <row r="29" spans="1:5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</row>
    <row r="30" spans="1:5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</row>
    <row r="31" spans="1:5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</row>
    <row r="32" spans="1:5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</row>
    <row r="33" spans="1:5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</row>
    <row r="34" spans="1:5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</row>
    <row r="35" spans="1:5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</row>
    <row r="36" spans="1:5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</row>
    <row r="37" spans="1:5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</row>
    <row r="38" spans="1:5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</row>
    <row r="39" spans="1:5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</row>
    <row r="40" spans="1:5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</row>
    <row r="41" spans="1:5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</row>
    <row r="42" spans="1:5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</row>
    <row r="43" spans="1:5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</row>
    <row r="44" spans="1:5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</row>
    <row r="45" spans="1:5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</row>
    <row r="46" spans="1:5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</row>
    <row r="47" spans="1:5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</row>
    <row r="48" spans="1:5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</row>
    <row r="49" spans="1:5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</row>
    <row r="50" spans="1:5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</row>
    <row r="51" spans="1: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</row>
    <row r="52" spans="1:5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</row>
    <row r="53" spans="1:5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</row>
    <row r="54" spans="1:5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</row>
    <row r="55" spans="1:5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</row>
    <row r="56" spans="1:5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</row>
    <row r="57" spans="1:5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</row>
    <row r="58" spans="1:5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</row>
    <row r="59" spans="1:5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</row>
    <row r="60" spans="1:5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</row>
    <row r="61" spans="1:5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</row>
    <row r="62" spans="1:5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</row>
    <row r="63" spans="1:5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</row>
    <row r="64" spans="1:5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6" spans="1:5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</row>
    <row r="67" spans="1:5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</row>
    <row r="68" spans="1:5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</row>
    <row r="69" spans="1:5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</row>
    <row r="70" spans="1:5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</row>
    <row r="71" spans="1:5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</row>
    <row r="72" spans="1:5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</row>
    <row r="73" spans="1:5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</row>
    <row r="74" spans="1:5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</row>
    <row r="75" spans="1:5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</row>
    <row r="76" spans="1:5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</row>
    <row r="77" spans="1:5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</row>
    <row r="78" spans="1:5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</row>
    <row r="79" spans="1:5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</row>
    <row r="80" spans="1:5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</row>
    <row r="81" spans="1:5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</row>
    <row r="82" spans="1:5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</row>
    <row r="83" spans="1:5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</row>
    <row r="84" spans="1:5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</row>
    <row r="85" spans="1:5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</row>
    <row r="86" spans="1:5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</row>
    <row r="87" spans="1:5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</row>
    <row r="88" spans="1:5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</row>
    <row r="89" spans="1:5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</row>
    <row r="90" spans="1:5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</row>
    <row r="91" spans="1:5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</row>
    <row r="92" spans="1:5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</row>
    <row r="93" spans="1:5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</row>
    <row r="94" spans="1:5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</row>
    <row r="95" spans="1:5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</row>
    <row r="96" spans="1:5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</row>
    <row r="97" spans="1:5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</row>
    <row r="98" spans="1:5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</row>
    <row r="99" spans="1:5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</row>
    <row r="100" spans="1:5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</row>
    <row r="101" spans="1:5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</row>
    <row r="102" spans="1:5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</row>
    <row r="103" spans="1:5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</row>
    <row r="104" spans="1:5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</row>
    <row r="105" spans="1:5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</row>
    <row r="106" spans="1:5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</row>
    <row r="107" spans="1:5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</row>
    <row r="108" spans="1:5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</row>
    <row r="109" spans="1:5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</row>
    <row r="110" spans="1:5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</row>
    <row r="111" spans="1:5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</row>
    <row r="112" spans="1:5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</row>
    <row r="113" spans="1:5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</row>
    <row r="114" spans="1:5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</row>
    <row r="115" spans="1:5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</row>
    <row r="116" spans="1:5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</row>
    <row r="117" spans="1:5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</row>
    <row r="118" spans="1:5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</row>
    <row r="119" spans="1:5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</row>
    <row r="120" spans="1:5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</row>
    <row r="121" spans="1:5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</row>
    <row r="122" spans="1:5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</row>
    <row r="123" spans="1:5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</row>
    <row r="124" spans="1:5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</row>
    <row r="125" spans="1:5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</row>
    <row r="126" spans="1:5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</row>
    <row r="127" spans="1:5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</row>
    <row r="128" spans="1:5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</row>
    <row r="130" spans="1:5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</row>
    <row r="132" spans="1:5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</row>
    <row r="133" spans="1:5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1:5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</row>
    <row r="135" spans="1:5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</row>
    <row r="136" spans="1:5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</row>
    <row r="137" spans="1:5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</row>
    <row r="138" spans="1:5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</row>
    <row r="139" spans="1:5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</row>
    <row r="140" spans="1:5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1:5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</row>
    <row r="142" spans="1:5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</row>
    <row r="143" spans="1:5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</row>
    <row r="144" spans="1:5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</row>
    <row r="145" spans="1:5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</row>
    <row r="146" spans="1:5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</row>
    <row r="147" spans="1:5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1:5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</row>
    <row r="149" spans="1:5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1:5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</row>
    <row r="151" spans="1: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</row>
    <row r="152" spans="1:5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</row>
    <row r="153" spans="1:5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1:5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</row>
    <row r="155" spans="1:5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</row>
    <row r="156" spans="1:5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</row>
    <row r="157" spans="1:5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</row>
    <row r="158" spans="1:5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</row>
    <row r="159" spans="1:5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</row>
    <row r="160" spans="1:5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</row>
    <row r="161" spans="1:5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</row>
    <row r="162" spans="1:5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</row>
    <row r="163" spans="1:5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</row>
    <row r="164" spans="1:5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</row>
    <row r="165" spans="1:5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</row>
    <row r="166" spans="1:5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</row>
    <row r="167" spans="1:5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</row>
    <row r="168" spans="1:5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</row>
    <row r="169" spans="1:5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</row>
    <row r="170" spans="1:5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</row>
    <row r="171" spans="1:5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</row>
    <row r="172" spans="1:5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</row>
    <row r="173" spans="1:5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</row>
    <row r="174" spans="1:5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</row>
    <row r="175" spans="1:5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</row>
    <row r="176" spans="1:5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 spans="1:5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</row>
    <row r="178" spans="1:5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</row>
    <row r="179" spans="1:5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</row>
    <row r="180" spans="1:5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</row>
    <row r="181" spans="1:5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</row>
    <row r="182" spans="1:5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</row>
    <row r="183" spans="1:5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1:5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</row>
    <row r="185" spans="1:5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</row>
    <row r="186" spans="1:5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</row>
    <row r="187" spans="1:5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</row>
    <row r="188" spans="1:5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</row>
    <row r="189" spans="1:5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</row>
    <row r="190" spans="1:5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</row>
    <row r="191" spans="1:5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</row>
    <row r="192" spans="1:5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</row>
    <row r="193" spans="1:5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</row>
    <row r="194" spans="1:5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</row>
    <row r="195" spans="1:5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</row>
    <row r="196" spans="1:5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</row>
    <row r="197" spans="1:5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</row>
    <row r="198" spans="1:5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</row>
    <row r="199" spans="1:5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</row>
    <row r="200" spans="1:5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</row>
  </sheetData>
  <mergeCells count="1">
    <mergeCell ref="A1:A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00"/>
  <sheetViews>
    <sheetView showGridLines="0" workbookViewId="0">
      <pane xSplit="1" ySplit="3" topLeftCell="D4" activePane="bottomRight" state="frozen"/>
      <selection pane="topRight"/>
      <selection pane="bottomLeft"/>
      <selection pane="bottomRight" sqref="A1:AL1"/>
    </sheetView>
  </sheetViews>
  <sheetFormatPr defaultRowHeight="14.4"/>
  <cols>
    <col min="1" max="1" width="42.09765625" style="18" customWidth="1"/>
    <col min="2" max="2" width="6.09765625" style="18" bestFit="1" customWidth="1"/>
    <col min="3" max="3" width="11.3984375" style="18" bestFit="1" customWidth="1"/>
    <col min="4" max="4" width="10.5" style="18" bestFit="1" customWidth="1"/>
    <col min="5" max="9" width="11.3984375" style="18" bestFit="1" customWidth="1"/>
    <col min="10" max="10" width="10.5" style="18" bestFit="1" customWidth="1"/>
    <col min="11" max="19" width="11.3984375" style="18" bestFit="1" customWidth="1"/>
    <col min="20" max="20" width="10.5" style="18" bestFit="1" customWidth="1"/>
    <col min="21" max="38" width="11.3984375" style="18" bestFit="1" customWidth="1"/>
    <col min="39" max="39" width="10.796875" style="18" bestFit="1" customWidth="1"/>
    <col min="40" max="40" width="11.3984375" style="18" bestFit="1" customWidth="1"/>
    <col min="41" max="16384" width="8.796875" style="18"/>
  </cols>
  <sheetData>
    <row r="1" spans="1:52" ht="24" customHeight="1">
      <c r="A1" s="43" t="s">
        <v>120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1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121</v>
      </c>
      <c r="B3" s="52">
        <v>45658</v>
      </c>
      <c r="C3" s="52">
        <v>45689</v>
      </c>
      <c r="D3" s="52">
        <v>45717</v>
      </c>
      <c r="E3" s="52">
        <v>45748</v>
      </c>
      <c r="F3" s="52">
        <v>45778</v>
      </c>
      <c r="G3" s="52">
        <v>45809</v>
      </c>
      <c r="H3" s="52">
        <v>45839</v>
      </c>
      <c r="I3" s="52">
        <v>45870</v>
      </c>
      <c r="J3" s="52">
        <v>45901</v>
      </c>
      <c r="K3" s="52">
        <v>45931</v>
      </c>
      <c r="L3" s="52">
        <v>45962</v>
      </c>
      <c r="M3" s="52">
        <v>45992</v>
      </c>
      <c r="N3" s="52">
        <v>46023</v>
      </c>
      <c r="O3" s="52">
        <v>46054</v>
      </c>
      <c r="P3" s="52">
        <v>46082</v>
      </c>
      <c r="Q3" s="52">
        <v>46113</v>
      </c>
      <c r="R3" s="52">
        <v>46143</v>
      </c>
      <c r="S3" s="52">
        <v>46174</v>
      </c>
      <c r="T3" s="52">
        <v>46204</v>
      </c>
      <c r="U3" s="52">
        <v>46235</v>
      </c>
      <c r="V3" s="52">
        <v>46266</v>
      </c>
      <c r="W3" s="52">
        <v>46296</v>
      </c>
      <c r="X3" s="52">
        <v>46327</v>
      </c>
      <c r="Y3" s="52">
        <v>46357</v>
      </c>
      <c r="Z3" s="52">
        <v>46388</v>
      </c>
      <c r="AA3" s="52">
        <v>46419</v>
      </c>
      <c r="AB3" s="52">
        <v>46447</v>
      </c>
      <c r="AC3" s="52">
        <v>46478</v>
      </c>
      <c r="AD3" s="52">
        <v>46508</v>
      </c>
      <c r="AE3" s="52">
        <v>46539</v>
      </c>
      <c r="AF3" s="52">
        <v>46569</v>
      </c>
      <c r="AG3" s="52">
        <v>46600</v>
      </c>
      <c r="AH3" s="52">
        <v>46631</v>
      </c>
      <c r="AI3" s="52">
        <v>46661</v>
      </c>
      <c r="AJ3" s="52">
        <v>46692</v>
      </c>
      <c r="AK3" s="52">
        <v>46722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62" t="s">
        <v>122</v>
      </c>
      <c r="B4" s="63">
        <f>SUMIFS(Actuals!$I$4:$I$123,Actuals!$D$4:$D$123,"Cloud Services",Actuals!$A$4:$A$123,B$3)</f>
        <v>24.338836486284755</v>
      </c>
      <c r="C4" s="63">
        <v>24.706961700976084</v>
      </c>
      <c r="D4" s="63">
        <v>24.899862766797128</v>
      </c>
      <c r="E4" s="63">
        <v>24.497568122912288</v>
      </c>
      <c r="F4" s="63">
        <v>25.833513954738994</v>
      </c>
      <c r="G4" s="63">
        <v>25.727614571013138</v>
      </c>
      <c r="H4" s="63">
        <v>26.11164811015346</v>
      </c>
      <c r="I4" s="63">
        <v>26.233832562912678</v>
      </c>
      <c r="J4" s="63">
        <v>27.249721885662535</v>
      </c>
      <c r="K4" s="63">
        <v>27.686495549244352</v>
      </c>
      <c r="L4" s="63">
        <v>27.49470745892156</v>
      </c>
      <c r="M4" s="63">
        <v>26.696696575952704</v>
      </c>
      <c r="N4" s="63">
        <v>28.753731262428765</v>
      </c>
      <c r="O4" s="63">
        <v>28.619838430187325</v>
      </c>
      <c r="P4" s="63">
        <v>28.765513330355926</v>
      </c>
      <c r="Q4" s="63">
        <v>28.341105669609924</v>
      </c>
      <c r="R4" s="63">
        <v>29.32520643112575</v>
      </c>
      <c r="S4" s="63">
        <v>29.758563775603406</v>
      </c>
      <c r="T4" s="63">
        <v>30.33225243479426</v>
      </c>
      <c r="U4" s="63">
        <v>30.640843161992155</v>
      </c>
      <c r="V4" s="63">
        <v>31.195635994584745</v>
      </c>
      <c r="W4" s="63">
        <v>31.649857100817602</v>
      </c>
      <c r="X4" s="63">
        <v>31.615073595508498</v>
      </c>
      <c r="Y4" s="63">
        <v>30.444454482773022</v>
      </c>
      <c r="Z4" s="63">
        <v>35.114903460000001</v>
      </c>
      <c r="AA4" s="63">
        <v>35.231953138199998</v>
      </c>
      <c r="AB4" s="63">
        <v>35.349392981993986</v>
      </c>
      <c r="AC4" s="63">
        <v>35.467224291933974</v>
      </c>
      <c r="AD4" s="63">
        <v>35.585448372907074</v>
      </c>
      <c r="AE4" s="63">
        <v>35.704066534150101</v>
      </c>
      <c r="AF4" s="63">
        <v>35.823080089263939</v>
      </c>
      <c r="AG4" s="63">
        <v>35.942490356228149</v>
      </c>
      <c r="AH4" s="63">
        <v>36.062298657415582</v>
      </c>
      <c r="AI4" s="63">
        <v>36.182506319606965</v>
      </c>
      <c r="AJ4" s="63">
        <v>36.303114674005649</v>
      </c>
      <c r="AK4" s="63">
        <v>36.424125056252336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17" t="s">
        <v>113</v>
      </c>
      <c r="B5" s="47">
        <f>SUMIFS(Actuals!$J$4:$J$123,Actuals!$D$4:$D$123,"Cloud Services",Actuals!$A$4:$A$123,B$3)</f>
        <v>12.6</v>
      </c>
      <c r="C5" s="47">
        <f>SUMIFS(Actuals!$J$4:$J$123,Actuals!$D$4:$D$123,"Cloud Services",Actuals!$A$4:$A$123,C$3)</f>
        <v>12.705</v>
      </c>
      <c r="D5" s="47">
        <f>SUMIFS(Actuals!$J$4:$J$123,Actuals!$D$4:$D$123,"Cloud Services",Actuals!$A$4:$A$123,D$3)</f>
        <v>12.809999999999999</v>
      </c>
      <c r="E5" s="47">
        <f>SUMIFS(Actuals!$J$4:$J$123,Actuals!$D$4:$D$123,"Cloud Services",Actuals!$A$4:$A$123,E$3)</f>
        <v>12.914999999999999</v>
      </c>
      <c r="F5" s="47">
        <f>SUMIFS(Actuals!$J$4:$J$123,Actuals!$D$4:$D$123,"Cloud Services",Actuals!$A$4:$A$123,F$3)</f>
        <v>12.914999999999999</v>
      </c>
      <c r="G5" s="47">
        <f>SUMIFS(Actuals!$J$4:$J$123,Actuals!$D$4:$D$123,"Cloud Services",Actuals!$A$4:$A$123,G$3)</f>
        <v>13.02</v>
      </c>
      <c r="H5" s="47">
        <f>SUMIFS(Actuals!$J$4:$J$123,Actuals!$D$4:$D$123,"Cloud Services",Actuals!$A$4:$A$123,H$3)</f>
        <v>13.125</v>
      </c>
      <c r="I5" s="47">
        <f>SUMIFS(Actuals!$J$4:$J$123,Actuals!$D$4:$D$123,"Cloud Services",Actuals!$A$4:$A$123,I$3)</f>
        <v>13.229999999999999</v>
      </c>
      <c r="J5" s="47">
        <f>SUMIFS(Actuals!$J$4:$J$123,Actuals!$D$4:$D$123,"Cloud Services",Actuals!$A$4:$A$123,J$3)</f>
        <v>13.334999999999999</v>
      </c>
      <c r="K5" s="47">
        <f>SUMIFS(Actuals!$J$4:$J$123,Actuals!$D$4:$D$123,"Cloud Services",Actuals!$A$4:$A$123,K$3)</f>
        <v>13.44</v>
      </c>
      <c r="L5" s="47">
        <f>SUMIFS(Actuals!$J$4:$J$123,Actuals!$D$4:$D$123,"Cloud Services",Actuals!$A$4:$A$123,L$3)</f>
        <v>13.44</v>
      </c>
      <c r="M5" s="47">
        <f>SUMIFS(Actuals!$J$4:$J$123,Actuals!$D$4:$D$123,"Cloud Services",Actuals!$A$4:$A$123,M$3)</f>
        <v>13.545</v>
      </c>
      <c r="N5" s="47">
        <f>SUMIFS(Actuals!$J$4:$J$123,Actuals!$D$4:$D$123,"Cloud Services",Actuals!$A$4:$A$123,N$3)</f>
        <v>14.468999999999999</v>
      </c>
      <c r="O5" s="47">
        <f>SUMIFS(Actuals!$J$4:$J$123,Actuals!$D$4:$D$123,"Cloud Services",Actuals!$A$4:$A$123,O$3)</f>
        <v>14.580299999999999</v>
      </c>
      <c r="P5" s="47">
        <f>SUMIFS(Actuals!$J$4:$J$123,Actuals!$D$4:$D$123,"Cloud Services",Actuals!$A$4:$A$123,P$3)</f>
        <v>14.691599999999999</v>
      </c>
      <c r="Q5" s="47">
        <f>SUMIFS(Actuals!$J$4:$J$123,Actuals!$D$4:$D$123,"Cloud Services",Actuals!$A$4:$A$123,Q$3)</f>
        <v>14.802899999999999</v>
      </c>
      <c r="R5" s="47">
        <f>SUMIFS(Actuals!$J$4:$J$123,Actuals!$D$4:$D$123,"Cloud Services",Actuals!$A$4:$A$123,R$3)</f>
        <v>14.802899999999999</v>
      </c>
      <c r="S5" s="47">
        <f>SUMIFS(Actuals!$J$4:$J$123,Actuals!$D$4:$D$123,"Cloud Services",Actuals!$A$4:$A$123,S$3)</f>
        <v>14.914199999999999</v>
      </c>
      <c r="T5" s="47">
        <f>SUMIFS(Actuals!$J$4:$J$123,Actuals!$D$4:$D$123,"Cloud Services",Actuals!$A$4:$A$123,T$3)</f>
        <v>15.025499999999999</v>
      </c>
      <c r="U5" s="47">
        <f>SUMIFS(Actuals!$J$4:$J$123,Actuals!$D$4:$D$123,"Cloud Services",Actuals!$A$4:$A$123,U$3)</f>
        <v>15.136799999999999</v>
      </c>
      <c r="V5" s="47">
        <f>SUMIFS(Actuals!$J$4:$J$123,Actuals!$D$4:$D$123,"Cloud Services",Actuals!$A$4:$A$123,V$3)</f>
        <v>15.248099999999999</v>
      </c>
      <c r="W5" s="47">
        <f>SUMIFS(Actuals!$J$4:$J$123,Actuals!$D$4:$D$123,"Cloud Services",Actuals!$A$4:$A$123,W$3)</f>
        <v>15.359399999999999</v>
      </c>
      <c r="X5" s="47">
        <f>SUMIFS(Actuals!$J$4:$J$123,Actuals!$D$4:$D$123,"Cloud Services",Actuals!$A$4:$A$123,X$3)</f>
        <v>15.359399999999999</v>
      </c>
      <c r="Y5" s="47">
        <f>SUMIFS(Actuals!$J$4:$J$123,Actuals!$D$4:$D$123,"Cloud Services",Actuals!$A$4:$A$123,Y$3)</f>
        <v>15.470699999999999</v>
      </c>
      <c r="Z5" s="47">
        <f>'Headcount Plan'!K4</f>
        <v>17.704959166666669</v>
      </c>
      <c r="AA5" s="47">
        <f>'Headcount Plan'!K9</f>
        <v>17.763975697222222</v>
      </c>
      <c r="AB5" s="47">
        <f>'Headcount Plan'!K14</f>
        <v>17.823188949546296</v>
      </c>
      <c r="AC5" s="47">
        <f>'Headcount Plan'!K19</f>
        <v>17.882599579378113</v>
      </c>
      <c r="AD5" s="47">
        <f>'Headcount Plan'!K24</f>
        <v>17.942208244642703</v>
      </c>
      <c r="AE5" s="47">
        <f>'Headcount Plan'!K29</f>
        <v>18.00201560545818</v>
      </c>
      <c r="AF5" s="47">
        <f>'Headcount Plan'!K34</f>
        <v>18.062022324143044</v>
      </c>
      <c r="AG5" s="47">
        <f>'Headcount Plan'!K39</f>
        <v>18.122229065223518</v>
      </c>
      <c r="AH5" s="47">
        <f>'Headcount Plan'!K44</f>
        <v>18.182636495440931</v>
      </c>
      <c r="AI5" s="47">
        <f>'Headcount Plan'!K49</f>
        <v>18.243245283759066</v>
      </c>
      <c r="AJ5" s="47">
        <f>'Headcount Plan'!K54</f>
        <v>18.304056101371597</v>
      </c>
      <c r="AK5" s="47">
        <f>'Headcount Plan'!K59</f>
        <v>18.365069621709502</v>
      </c>
      <c r="AL5" s="17">
        <f t="shared" ref="AL5:AL63" si="0">SUM(C5:M5)</f>
        <v>144.47999999999999</v>
      </c>
      <c r="AM5" s="17">
        <f t="shared" ref="AM5:AM63" si="1">SUM(N5:Y5)</f>
        <v>179.86079999999995</v>
      </c>
      <c r="AN5" s="17">
        <f t="shared" ref="AN5:AN63" si="2">SUM(Z5:AK5)</f>
        <v>216.3982061345618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17" t="s">
        <v>114</v>
      </c>
      <c r="B6" s="47">
        <f>SUMIFS(Actuals!$K$4:$K$123,Actuals!$D$4:$D$123,"Cloud Services",Actuals!$A$4:$A$123,B$3)</f>
        <v>1.5820243716085092</v>
      </c>
      <c r="C6" s="47">
        <f>SUMIFS(Actuals!$K$4:$K$123,Actuals!$D$4:$D$123,"Cloud Services",Actuals!$A$4:$A$123,C$3)</f>
        <v>1.6059525105634456</v>
      </c>
      <c r="D6" s="47">
        <f>SUMIFS(Actuals!$K$4:$K$123,Actuals!$D$4:$D$123,"Cloud Services",Actuals!$A$4:$A$123,D$3)</f>
        <v>1.6184910798418133</v>
      </c>
      <c r="E6" s="47">
        <f>SUMIFS(Actuals!$K$4:$K$123,Actuals!$D$4:$D$123,"Cloud Services",Actuals!$A$4:$A$123,E$3)</f>
        <v>1.5923419279892987</v>
      </c>
      <c r="F6" s="47">
        <f>SUMIFS(Actuals!$K$4:$K$123,Actuals!$D$4:$D$123,"Cloud Services",Actuals!$A$4:$A$123,F$3)</f>
        <v>1.6791784070580347</v>
      </c>
      <c r="G6" s="47">
        <f>SUMIFS(Actuals!$K$4:$K$123,Actuals!$D$4:$D$123,"Cloud Services",Actuals!$A$4:$A$123,G$3)</f>
        <v>1.6722949471158541</v>
      </c>
      <c r="H6" s="47">
        <f>SUMIFS(Actuals!$K$4:$K$123,Actuals!$D$4:$D$123,"Cloud Services",Actuals!$A$4:$A$123,H$3)</f>
        <v>1.697257127159975</v>
      </c>
      <c r="I6" s="47">
        <f>SUMIFS(Actuals!$K$4:$K$123,Actuals!$D$4:$D$123,"Cloud Services",Actuals!$A$4:$A$123,I$3)</f>
        <v>1.7051991165893241</v>
      </c>
      <c r="J6" s="47">
        <f>SUMIFS(Actuals!$K$4:$K$123,Actuals!$D$4:$D$123,"Cloud Services",Actuals!$A$4:$A$123,J$3)</f>
        <v>1.7712319225680648</v>
      </c>
      <c r="K6" s="47">
        <f>SUMIFS(Actuals!$K$4:$K$123,Actuals!$D$4:$D$123,"Cloud Services",Actuals!$A$4:$A$123,K$3)</f>
        <v>1.799622210700883</v>
      </c>
      <c r="L6" s="47">
        <f>SUMIFS(Actuals!$K$4:$K$123,Actuals!$D$4:$D$123,"Cloud Services",Actuals!$A$4:$A$123,L$3)</f>
        <v>1.7871559848299015</v>
      </c>
      <c r="M6" s="47">
        <f>SUMIFS(Actuals!$K$4:$K$123,Actuals!$D$4:$D$123,"Cloud Services",Actuals!$A$4:$A$123,M$3)</f>
        <v>1.7352852774369258</v>
      </c>
      <c r="N6" s="47">
        <f>SUMIFS(Actuals!$K$4:$K$123,Actuals!$D$4:$D$123,"Cloud Services",Actuals!$A$4:$A$123,N$3)</f>
        <v>1.8689925320578697</v>
      </c>
      <c r="O6" s="47">
        <f>SUMIFS(Actuals!$K$4:$K$123,Actuals!$D$4:$D$123,"Cloud Services",Actuals!$A$4:$A$123,O$3)</f>
        <v>1.8602894979621762</v>
      </c>
      <c r="P6" s="47">
        <f>SUMIFS(Actuals!$K$4:$K$123,Actuals!$D$4:$D$123,"Cloud Services",Actuals!$A$4:$A$123,P$3)</f>
        <v>1.8697583664731352</v>
      </c>
      <c r="Q6" s="47">
        <f>SUMIFS(Actuals!$K$4:$K$123,Actuals!$D$4:$D$123,"Cloud Services",Actuals!$A$4:$A$123,Q$3)</f>
        <v>1.8421718685246451</v>
      </c>
      <c r="R6" s="47">
        <f>SUMIFS(Actuals!$K$4:$K$123,Actuals!$D$4:$D$123,"Cloud Services",Actuals!$A$4:$A$123,R$3)</f>
        <v>1.9061384180231737</v>
      </c>
      <c r="S6" s="47">
        <f>SUMIFS(Actuals!$K$4:$K$123,Actuals!$D$4:$D$123,"Cloud Services",Actuals!$A$4:$A$123,S$3)</f>
        <v>1.9343066454142215</v>
      </c>
      <c r="T6" s="47">
        <f>SUMIFS(Actuals!$K$4:$K$123,Actuals!$D$4:$D$123,"Cloud Services",Actuals!$A$4:$A$123,T$3)</f>
        <v>1.9715964082616269</v>
      </c>
      <c r="U6" s="47">
        <f>SUMIFS(Actuals!$K$4:$K$123,Actuals!$D$4:$D$123,"Cloud Services",Actuals!$A$4:$A$123,U$3)</f>
        <v>1.9916548055294903</v>
      </c>
      <c r="V6" s="47">
        <f>SUMIFS(Actuals!$K$4:$K$123,Actuals!$D$4:$D$123,"Cloud Services",Actuals!$A$4:$A$123,V$3)</f>
        <v>2.0277163396480087</v>
      </c>
      <c r="W6" s="47">
        <f>SUMIFS(Actuals!$K$4:$K$123,Actuals!$D$4:$D$123,"Cloud Services",Actuals!$A$4:$A$123,W$3)</f>
        <v>2.0572407115531441</v>
      </c>
      <c r="X6" s="47">
        <f>SUMIFS(Actuals!$K$4:$K$123,Actuals!$D$4:$D$123,"Cloud Services",Actuals!$A$4:$A$123,X$3)</f>
        <v>2.0549797837080526</v>
      </c>
      <c r="Y6" s="47">
        <f>SUMIFS(Actuals!$K$4:$K$123,Actuals!$D$4:$D$123,"Cloud Services",Actuals!$A$4:$A$123,Y$3)</f>
        <v>1.9788895413802465</v>
      </c>
      <c r="Z6" s="47">
        <f>Z4*Assumptions!$B$23</f>
        <v>2.6336177594999999</v>
      </c>
      <c r="AA6" s="47">
        <f>AA4*Assumptions!$B$23</f>
        <v>2.6423964853649999</v>
      </c>
      <c r="AB6" s="47">
        <f>AB4*Assumptions!$B$23</f>
        <v>2.6512044736495488</v>
      </c>
      <c r="AC6" s="47">
        <f>AC4*Assumptions!$B$23</f>
        <v>2.6600418218950481</v>
      </c>
      <c r="AD6" s="47">
        <f>AD4*Assumptions!$B$23</f>
        <v>2.6689086279680305</v>
      </c>
      <c r="AE6" s="47">
        <f>AE4*Assumptions!$B$23</f>
        <v>2.6778049900612575</v>
      </c>
      <c r="AF6" s="47">
        <f>AF4*Assumptions!$B$23</f>
        <v>2.6867310066947954</v>
      </c>
      <c r="AG6" s="47">
        <f>AG4*Assumptions!$B$23</f>
        <v>2.6956867767171109</v>
      </c>
      <c r="AH6" s="47">
        <f>AH4*Assumptions!$B$23</f>
        <v>2.7046723993061685</v>
      </c>
      <c r="AI6" s="47">
        <f>AI4*Assumptions!$B$23</f>
        <v>2.7136879739705222</v>
      </c>
      <c r="AJ6" s="47">
        <f>AJ4*Assumptions!$B$23</f>
        <v>2.7227336005504235</v>
      </c>
      <c r="AK6" s="47">
        <f>AK4*Assumptions!$B$23</f>
        <v>2.7318093792189253</v>
      </c>
      <c r="AL6" s="17">
        <f t="shared" si="0"/>
        <v>18.664010511853522</v>
      </c>
      <c r="AM6" s="17">
        <f t="shared" si="1"/>
        <v>23.363734918535794</v>
      </c>
      <c r="AN6" s="17">
        <f t="shared" si="2"/>
        <v>32.18929529489683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17" t="s">
        <v>115</v>
      </c>
      <c r="B7" s="50">
        <f t="shared" ref="B7:AK7" si="3">B4-B5-B6</f>
        <v>10.156812114676246</v>
      </c>
      <c r="C7" s="50">
        <f t="shared" si="3"/>
        <v>10.396009190412638</v>
      </c>
      <c r="D7" s="50">
        <f t="shared" si="3"/>
        <v>10.471371686955315</v>
      </c>
      <c r="E7" s="50">
        <f t="shared" si="3"/>
        <v>9.9902261949229896</v>
      </c>
      <c r="F7" s="50">
        <f t="shared" si="3"/>
        <v>11.239335547680959</v>
      </c>
      <c r="G7" s="50">
        <f t="shared" si="3"/>
        <v>11.035319623897283</v>
      </c>
      <c r="H7" s="50">
        <f t="shared" si="3"/>
        <v>11.289390982993485</v>
      </c>
      <c r="I7" s="50">
        <f t="shared" si="3"/>
        <v>11.298633446323356</v>
      </c>
      <c r="J7" s="50">
        <f t="shared" si="3"/>
        <v>12.143489963094471</v>
      </c>
      <c r="K7" s="50">
        <f t="shared" si="3"/>
        <v>12.446873338543469</v>
      </c>
      <c r="L7" s="50">
        <f t="shared" si="3"/>
        <v>12.267551474091659</v>
      </c>
      <c r="M7" s="50">
        <f t="shared" si="3"/>
        <v>11.416411298515778</v>
      </c>
      <c r="N7" s="50">
        <f t="shared" si="3"/>
        <v>12.415738730370895</v>
      </c>
      <c r="O7" s="50">
        <f t="shared" si="3"/>
        <v>12.17924893222515</v>
      </c>
      <c r="P7" s="50">
        <f t="shared" si="3"/>
        <v>12.204154963882791</v>
      </c>
      <c r="Q7" s="50">
        <f t="shared" si="3"/>
        <v>11.69603380108528</v>
      </c>
      <c r="R7" s="50">
        <f t="shared" si="3"/>
        <v>12.616168013102577</v>
      </c>
      <c r="S7" s="50">
        <f t="shared" si="3"/>
        <v>12.910057130189186</v>
      </c>
      <c r="T7" s="50">
        <f t="shared" si="3"/>
        <v>13.335156026532633</v>
      </c>
      <c r="U7" s="50">
        <f t="shared" si="3"/>
        <v>13.512388356462665</v>
      </c>
      <c r="V7" s="50">
        <f t="shared" si="3"/>
        <v>13.919819654936736</v>
      </c>
      <c r="W7" s="50">
        <f t="shared" si="3"/>
        <v>14.233216389264461</v>
      </c>
      <c r="X7" s="50">
        <f t="shared" si="3"/>
        <v>14.200693811800445</v>
      </c>
      <c r="Y7" s="50">
        <f t="shared" si="3"/>
        <v>12.994864941392777</v>
      </c>
      <c r="Z7" s="50">
        <f t="shared" si="3"/>
        <v>14.776326533833332</v>
      </c>
      <c r="AA7" s="50">
        <f t="shared" si="3"/>
        <v>14.825580955612777</v>
      </c>
      <c r="AB7" s="50">
        <f t="shared" si="3"/>
        <v>14.874999558798141</v>
      </c>
      <c r="AC7" s="50">
        <f t="shared" si="3"/>
        <v>14.924582890660814</v>
      </c>
      <c r="AD7" s="50">
        <f t="shared" si="3"/>
        <v>14.974331500296341</v>
      </c>
      <c r="AE7" s="50">
        <f t="shared" si="3"/>
        <v>15.024245938630663</v>
      </c>
      <c r="AF7" s="50">
        <f t="shared" si="3"/>
        <v>15.0743267584261</v>
      </c>
      <c r="AG7" s="50">
        <f t="shared" si="3"/>
        <v>15.12457451428752</v>
      </c>
      <c r="AH7" s="50">
        <f t="shared" si="3"/>
        <v>15.174989762668481</v>
      </c>
      <c r="AI7" s="50">
        <f t="shared" si="3"/>
        <v>15.225573061877377</v>
      </c>
      <c r="AJ7" s="50">
        <f t="shared" si="3"/>
        <v>15.276324972083628</v>
      </c>
      <c r="AK7" s="50">
        <f t="shared" si="3"/>
        <v>15.32724605532391</v>
      </c>
      <c r="AL7" s="17">
        <f t="shared" si="0"/>
        <v>123.99461274743139</v>
      </c>
      <c r="AM7" s="17">
        <f t="shared" si="1"/>
        <v>156.21754075124562</v>
      </c>
      <c r="AN7" s="17">
        <f t="shared" si="2"/>
        <v>180.60310250249907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17" t="s">
        <v>34</v>
      </c>
      <c r="B8" s="64">
        <f t="shared" ref="B8:AK8" si="4">IFERROR(B7/B4,0)</f>
        <v>0.41730886028178621</v>
      </c>
      <c r="C8" s="64">
        <f t="shared" si="4"/>
        <v>0.42077246551938147</v>
      </c>
      <c r="D8" s="64">
        <f t="shared" si="4"/>
        <v>0.42053933328975729</v>
      </c>
      <c r="E8" s="64">
        <f t="shared" si="4"/>
        <v>0.40780481331039747</v>
      </c>
      <c r="F8" s="64">
        <f t="shared" si="4"/>
        <v>0.4350680115516834</v>
      </c>
      <c r="G8" s="64">
        <f t="shared" si="4"/>
        <v>0.42892898575721783</v>
      </c>
      <c r="H8" s="64">
        <f t="shared" si="4"/>
        <v>0.43235076297629904</v>
      </c>
      <c r="I8" s="64">
        <f t="shared" si="4"/>
        <v>0.43068939390489486</v>
      </c>
      <c r="J8" s="64">
        <f t="shared" si="4"/>
        <v>0.44563720738316154</v>
      </c>
      <c r="K8" s="64">
        <f t="shared" si="4"/>
        <v>0.44956478209403361</v>
      </c>
      <c r="L8" s="64">
        <f t="shared" si="4"/>
        <v>0.44617865065194756</v>
      </c>
      <c r="M8" s="64">
        <f t="shared" si="4"/>
        <v>0.42763385597299763</v>
      </c>
      <c r="N8" s="64">
        <f t="shared" si="4"/>
        <v>0.4317957421614354</v>
      </c>
      <c r="O8" s="64">
        <f t="shared" si="4"/>
        <v>0.42555267954898213</v>
      </c>
      <c r="P8" s="64">
        <f t="shared" si="4"/>
        <v>0.42426341653371025</v>
      </c>
      <c r="Q8" s="64">
        <f t="shared" si="4"/>
        <v>0.41268798533950279</v>
      </c>
      <c r="R8" s="64">
        <f t="shared" si="4"/>
        <v>0.43021582960492943</v>
      </c>
      <c r="S8" s="64">
        <f t="shared" si="4"/>
        <v>0.43382661970982206</v>
      </c>
      <c r="T8" s="64">
        <f t="shared" si="4"/>
        <v>0.43963619435119222</v>
      </c>
      <c r="U8" s="64">
        <f t="shared" si="4"/>
        <v>0.44099270653308414</v>
      </c>
      <c r="V8" s="64">
        <f t="shared" si="4"/>
        <v>0.44621047820128046</v>
      </c>
      <c r="W8" s="64">
        <f t="shared" si="4"/>
        <v>0.44970870939245972</v>
      </c>
      <c r="X8" s="64">
        <f t="shared" si="4"/>
        <v>0.44917478268397626</v>
      </c>
      <c r="Y8" s="64">
        <f t="shared" si="4"/>
        <v>0.4268384887220073</v>
      </c>
      <c r="Z8" s="64">
        <f t="shared" si="4"/>
        <v>0.42079929254726001</v>
      </c>
      <c r="AA8" s="64">
        <f t="shared" si="4"/>
        <v>0.42079929254726001</v>
      </c>
      <c r="AB8" s="64">
        <f t="shared" si="4"/>
        <v>0.42079929254725984</v>
      </c>
      <c r="AC8" s="64">
        <f t="shared" si="4"/>
        <v>0.42079929254726006</v>
      </c>
      <c r="AD8" s="64">
        <f t="shared" si="4"/>
        <v>0.42079929254726001</v>
      </c>
      <c r="AE8" s="64">
        <f t="shared" si="4"/>
        <v>0.42079929254726001</v>
      </c>
      <c r="AF8" s="64">
        <f t="shared" si="4"/>
        <v>0.42079929254725995</v>
      </c>
      <c r="AG8" s="64">
        <f t="shared" si="4"/>
        <v>0.42079929254726001</v>
      </c>
      <c r="AH8" s="64">
        <f t="shared" si="4"/>
        <v>0.42079929254726001</v>
      </c>
      <c r="AI8" s="64">
        <f t="shared" si="4"/>
        <v>0.42079929254726006</v>
      </c>
      <c r="AJ8" s="64">
        <f t="shared" si="4"/>
        <v>0.42079929254725995</v>
      </c>
      <c r="AK8" s="64">
        <f t="shared" si="4"/>
        <v>0.42079929254726001</v>
      </c>
      <c r="AL8" s="17">
        <f t="shared" si="0"/>
        <v>4.7451682624117719</v>
      </c>
      <c r="AM8" s="17">
        <f t="shared" si="1"/>
        <v>5.2109036327823821</v>
      </c>
      <c r="AN8" s="17">
        <f t="shared" si="2"/>
        <v>5.0495915105671196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17" t="s">
        <v>116</v>
      </c>
      <c r="B9" s="47">
        <f>SUMIFS(Actuals!$L$4:$L$123,Actuals!$D$4:$D$123,"Cloud Services",Actuals!$A$4:$A$123,B$3)</f>
        <v>1.0799999999999998</v>
      </c>
      <c r="C9" s="47">
        <f>SUMIFS(Actuals!$L$4:$L$123,Actuals!$D$4:$D$123,"Cloud Services",Actuals!$A$4:$A$123,C$3)</f>
        <v>1.089</v>
      </c>
      <c r="D9" s="47">
        <f>SUMIFS(Actuals!$L$4:$L$123,Actuals!$D$4:$D$123,"Cloud Services",Actuals!$A$4:$A$123,D$3)</f>
        <v>1.0979999999999999</v>
      </c>
      <c r="E9" s="47">
        <f>SUMIFS(Actuals!$L$4:$L$123,Actuals!$D$4:$D$123,"Cloud Services",Actuals!$A$4:$A$123,E$3)</f>
        <v>1.107</v>
      </c>
      <c r="F9" s="47">
        <f>SUMIFS(Actuals!$L$4:$L$123,Actuals!$D$4:$D$123,"Cloud Services",Actuals!$A$4:$A$123,F$3)</f>
        <v>1.107</v>
      </c>
      <c r="G9" s="47">
        <f>SUMIFS(Actuals!$L$4:$L$123,Actuals!$D$4:$D$123,"Cloud Services",Actuals!$A$4:$A$123,G$3)</f>
        <v>1.1159999999999999</v>
      </c>
      <c r="H9" s="47">
        <f>SUMIFS(Actuals!$L$4:$L$123,Actuals!$D$4:$D$123,"Cloud Services",Actuals!$A$4:$A$123,H$3)</f>
        <v>1.125</v>
      </c>
      <c r="I9" s="47">
        <f>SUMIFS(Actuals!$L$4:$L$123,Actuals!$D$4:$D$123,"Cloud Services",Actuals!$A$4:$A$123,I$3)</f>
        <v>1.1339999999999999</v>
      </c>
      <c r="J9" s="47">
        <f>SUMIFS(Actuals!$L$4:$L$123,Actuals!$D$4:$D$123,"Cloud Services",Actuals!$A$4:$A$123,J$3)</f>
        <v>1.143</v>
      </c>
      <c r="K9" s="47">
        <f>SUMIFS(Actuals!$L$4:$L$123,Actuals!$D$4:$D$123,"Cloud Services",Actuals!$A$4:$A$123,K$3)</f>
        <v>1.1519999999999999</v>
      </c>
      <c r="L9" s="47">
        <f>SUMIFS(Actuals!$L$4:$L$123,Actuals!$D$4:$D$123,"Cloud Services",Actuals!$A$4:$A$123,L$3)</f>
        <v>1.1519999999999999</v>
      </c>
      <c r="M9" s="47">
        <f>SUMIFS(Actuals!$L$4:$L$123,Actuals!$D$4:$D$123,"Cloud Services",Actuals!$A$4:$A$123,M$3)</f>
        <v>1.1609999999999998</v>
      </c>
      <c r="N9" s="47">
        <f>SUMIFS(Actuals!$L$4:$L$123,Actuals!$D$4:$D$123,"Cloud Services",Actuals!$A$4:$A$123,N$3)</f>
        <v>1.2284999999999999</v>
      </c>
      <c r="O9" s="47">
        <f>SUMIFS(Actuals!$L$4:$L$123,Actuals!$D$4:$D$123,"Cloud Services",Actuals!$A$4:$A$123,O$3)</f>
        <v>1.2379499999999999</v>
      </c>
      <c r="P9" s="47">
        <f>SUMIFS(Actuals!$L$4:$L$123,Actuals!$D$4:$D$123,"Cloud Services",Actuals!$A$4:$A$123,P$3)</f>
        <v>1.2474000000000001</v>
      </c>
      <c r="Q9" s="47">
        <f>SUMIFS(Actuals!$L$4:$L$123,Actuals!$D$4:$D$123,"Cloud Services",Actuals!$A$4:$A$123,Q$3)</f>
        <v>1.2568499999999998</v>
      </c>
      <c r="R9" s="47">
        <f>SUMIFS(Actuals!$L$4:$L$123,Actuals!$D$4:$D$123,"Cloud Services",Actuals!$A$4:$A$123,R$3)</f>
        <v>1.2568499999999998</v>
      </c>
      <c r="S9" s="47">
        <f>SUMIFS(Actuals!$L$4:$L$123,Actuals!$D$4:$D$123,"Cloud Services",Actuals!$A$4:$A$123,S$3)</f>
        <v>1.2663</v>
      </c>
      <c r="T9" s="47">
        <f>SUMIFS(Actuals!$L$4:$L$123,Actuals!$D$4:$D$123,"Cloud Services",Actuals!$A$4:$A$123,T$3)</f>
        <v>1.2757499999999999</v>
      </c>
      <c r="U9" s="47">
        <f>SUMIFS(Actuals!$L$4:$L$123,Actuals!$D$4:$D$123,"Cloud Services",Actuals!$A$4:$A$123,U$3)</f>
        <v>1.2852000000000001</v>
      </c>
      <c r="V9" s="47">
        <f>SUMIFS(Actuals!$L$4:$L$123,Actuals!$D$4:$D$123,"Cloud Services",Actuals!$A$4:$A$123,V$3)</f>
        <v>1.2946499999999999</v>
      </c>
      <c r="W9" s="47">
        <f>SUMIFS(Actuals!$L$4:$L$123,Actuals!$D$4:$D$123,"Cloud Services",Actuals!$A$4:$A$123,W$3)</f>
        <v>1.3041</v>
      </c>
      <c r="X9" s="47">
        <f>SUMIFS(Actuals!$L$4:$L$123,Actuals!$D$4:$D$123,"Cloud Services",Actuals!$A$4:$A$123,X$3)</f>
        <v>1.3041</v>
      </c>
      <c r="Y9" s="47">
        <f>SUMIFS(Actuals!$L$4:$L$123,Actuals!$D$4:$D$123,"Cloud Services",Actuals!$A$4:$A$123,Y$3)</f>
        <v>1.31355</v>
      </c>
      <c r="Z9" s="47">
        <f>'Headcount Plan'!G4*Assumptions!G13*(1+Assumptions!$B$9)</f>
        <v>1.5250375</v>
      </c>
      <c r="AA9" s="47">
        <f>'Headcount Plan'!G9*Assumptions!G13*(1+Assumptions!$B$9)</f>
        <v>1.5301209583333335</v>
      </c>
      <c r="AB9" s="47">
        <f>'Headcount Plan'!G14*Assumptions!G13*(1+Assumptions!$B$9)</f>
        <v>1.5352213615277777</v>
      </c>
      <c r="AC9" s="47">
        <f>'Headcount Plan'!G19*Assumptions!G13*(1+Assumptions!$B$9)</f>
        <v>1.5403387660662033</v>
      </c>
      <c r="AD9" s="47">
        <f>'Headcount Plan'!G24*Assumptions!G13*(1+Assumptions!$B$9)</f>
        <v>1.545473228619757</v>
      </c>
      <c r="AE9" s="47">
        <f>'Headcount Plan'!G29*Assumptions!G13*(1+Assumptions!$B$9)</f>
        <v>1.5506248060484897</v>
      </c>
      <c r="AF9" s="47">
        <f>'Headcount Plan'!G34*Assumptions!G13*(1+Assumptions!$B$9)</f>
        <v>1.5557935554019848</v>
      </c>
      <c r="AG9" s="47">
        <f>'Headcount Plan'!G39*Assumptions!G13*(1+Assumptions!$B$9)</f>
        <v>1.5609795339199912</v>
      </c>
      <c r="AH9" s="47">
        <f>'Headcount Plan'!G44*Assumptions!G13*(1+Assumptions!$B$9)</f>
        <v>1.5661827990330581</v>
      </c>
      <c r="AI9" s="47">
        <f>'Headcount Plan'!G49*Assumptions!G13*(1+Assumptions!$B$9)</f>
        <v>1.5714034083631681</v>
      </c>
      <c r="AJ9" s="47">
        <f>'Headcount Plan'!G54*Assumptions!G13*(1+Assumptions!$B$9)</f>
        <v>1.5766414197243785</v>
      </c>
      <c r="AK9" s="47">
        <f>'Headcount Plan'!G59*Assumptions!G13*(1+Assumptions!$B$9)</f>
        <v>1.5818968911234599</v>
      </c>
      <c r="AL9" s="17">
        <f t="shared" si="0"/>
        <v>12.383999999999999</v>
      </c>
      <c r="AM9" s="17">
        <f t="shared" si="1"/>
        <v>15.2712</v>
      </c>
      <c r="AN9" s="17">
        <f t="shared" si="2"/>
        <v>18.639714228161601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17" t="s">
        <v>117</v>
      </c>
      <c r="B10" s="47">
        <f>SUMIFS(Actuals!$M$4:$M$123,Actuals!$D$4:$D$123,"Cloud Services",Actuals!$A$4:$A$123,B$3)</f>
        <v>0.65999999999999992</v>
      </c>
      <c r="C10" s="47">
        <v>0.66549999999999998</v>
      </c>
      <c r="D10" s="47">
        <v>0.67099999999999993</v>
      </c>
      <c r="E10" s="47">
        <v>0.67649999999999999</v>
      </c>
      <c r="F10" s="47">
        <v>0.67649999999999999</v>
      </c>
      <c r="G10" s="47">
        <v>0.68199999999999994</v>
      </c>
      <c r="H10" s="47">
        <v>0.6875</v>
      </c>
      <c r="I10" s="47">
        <v>0.69299999999999995</v>
      </c>
      <c r="J10" s="47">
        <v>0.69850000000000001</v>
      </c>
      <c r="K10" s="47">
        <v>0.70399999999999996</v>
      </c>
      <c r="L10" s="47">
        <v>0.70399999999999996</v>
      </c>
      <c r="M10" s="47">
        <v>0.70949999999999991</v>
      </c>
      <c r="N10" s="47">
        <v>0.71499999999999997</v>
      </c>
      <c r="O10" s="47">
        <v>0.72049999999999992</v>
      </c>
      <c r="P10" s="47">
        <v>0.72599999999999998</v>
      </c>
      <c r="Q10" s="47">
        <v>0.73149999999999993</v>
      </c>
      <c r="R10" s="47">
        <v>0.73149999999999993</v>
      </c>
      <c r="S10" s="47">
        <v>0.73699999999999999</v>
      </c>
      <c r="T10" s="47">
        <v>0.74249999999999994</v>
      </c>
      <c r="U10" s="47">
        <v>0.748</v>
      </c>
      <c r="V10" s="47">
        <v>0.75349999999999995</v>
      </c>
      <c r="W10" s="47">
        <v>0.75900000000000001</v>
      </c>
      <c r="X10" s="47">
        <v>0.75900000000000001</v>
      </c>
      <c r="Y10" s="47">
        <v>0.76449999999999996</v>
      </c>
      <c r="Z10" s="47">
        <v>0.91502250000000007</v>
      </c>
      <c r="AA10" s="47">
        <v>0.91807257500000006</v>
      </c>
      <c r="AB10" s="47">
        <v>0.9211328169166666</v>
      </c>
      <c r="AC10" s="47">
        <v>0.92420325963972205</v>
      </c>
      <c r="AD10" s="47">
        <v>0.9272839371718542</v>
      </c>
      <c r="AE10" s="47">
        <v>0.93037488362909371</v>
      </c>
      <c r="AF10" s="47">
        <v>0.93347613324119094</v>
      </c>
      <c r="AG10" s="47">
        <v>0.93658772035199467</v>
      </c>
      <c r="AH10" s="47">
        <v>0.93970967941983485</v>
      </c>
      <c r="AI10" s="47">
        <v>0.94284204501790092</v>
      </c>
      <c r="AJ10" s="47">
        <v>0.94598485183462722</v>
      </c>
      <c r="AK10" s="47">
        <v>0.94913813467407582</v>
      </c>
      <c r="AL10" s="17">
        <f t="shared" si="0"/>
        <v>7.5679999999999987</v>
      </c>
      <c r="AM10" s="17">
        <f t="shared" si="1"/>
        <v>8.8879999999999999</v>
      </c>
      <c r="AN10" s="17">
        <f t="shared" si="2"/>
        <v>11.183828536896963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17" t="s">
        <v>123</v>
      </c>
      <c r="B11" s="47">
        <f>SUMIFS(Actuals!$N$4:$N$123,Actuals!$D$4:$D$123,"Cloud Services",Actuals!$A$4:$A$123,B$3)+SUMIFS(Actuals!$O$4:$O$123,Actuals!$D$4:$D$123,"Cloud Services",Actuals!$A$4:$A$123,B$3)+SUMIFS(Actuals!$P$4:$P$123,Actuals!$D$4:$D$123,"Cloud Services",Actuals!$A$4:$A$123,B$3)</f>
        <v>0.8761981135062511</v>
      </c>
      <c r="C11" s="47">
        <f>SUMIFS(Actuals!$N$4:$N$123,Actuals!$D$4:$D$123,"Cloud Services",Actuals!$A$4:$A$123,C$3)+SUMIFS(Actuals!$O$4:$O$123,Actuals!$D$4:$D$123,"Cloud Services",Actuals!$A$4:$A$123,C$3)+SUMIFS(Actuals!$P$4:$P$123,Actuals!$D$4:$D$123,"Cloud Services",Actuals!$A$4:$A$123,C$3)</f>
        <v>0.96357150633806721</v>
      </c>
      <c r="D11" s="47">
        <f>SUMIFS(Actuals!$N$4:$N$123,Actuals!$D$4:$D$123,"Cloud Services",Actuals!$A$4:$A$123,D$3)+SUMIFS(Actuals!$O$4:$O$123,Actuals!$D$4:$D$123,"Cloud Services",Actuals!$A$4:$A$123,D$3)+SUMIFS(Actuals!$P$4:$P$123,Actuals!$D$4:$D$123,"Cloud Services",Actuals!$A$4:$A$123,D$3)</f>
        <v>0.97109464790508804</v>
      </c>
      <c r="E11" s="47">
        <f>SUMIFS(Actuals!$N$4:$N$123,Actuals!$D$4:$D$123,"Cloud Services",Actuals!$A$4:$A$123,E$3)+SUMIFS(Actuals!$O$4:$O$123,Actuals!$D$4:$D$123,"Cloud Services",Actuals!$A$4:$A$123,E$3)+SUMIFS(Actuals!$P$4:$P$123,Actuals!$D$4:$D$123,"Cloud Services",Actuals!$A$4:$A$123,E$3)</f>
        <v>0.8819124524248424</v>
      </c>
      <c r="F11" s="47">
        <f>SUMIFS(Actuals!$N$4:$N$123,Actuals!$D$4:$D$123,"Cloud Services",Actuals!$A$4:$A$123,F$3)+SUMIFS(Actuals!$O$4:$O$123,Actuals!$D$4:$D$123,"Cloud Services",Actuals!$A$4:$A$123,F$3)+SUMIFS(Actuals!$P$4:$P$123,Actuals!$D$4:$D$123,"Cloud Services",Actuals!$A$4:$A$123,F$3)</f>
        <v>0.93000650237060389</v>
      </c>
      <c r="G11" s="47">
        <f>SUMIFS(Actuals!$N$4:$N$123,Actuals!$D$4:$D$123,"Cloud Services",Actuals!$A$4:$A$123,G$3)+SUMIFS(Actuals!$O$4:$O$123,Actuals!$D$4:$D$123,"Cloud Services",Actuals!$A$4:$A$123,G$3)+SUMIFS(Actuals!$P$4:$P$123,Actuals!$D$4:$D$123,"Cloud Services",Actuals!$A$4:$A$123,G$3)</f>
        <v>0.9261941245564731</v>
      </c>
      <c r="H11" s="47">
        <f>SUMIFS(Actuals!$N$4:$N$123,Actuals!$D$4:$D$123,"Cloud Services",Actuals!$A$4:$A$123,H$3)+SUMIFS(Actuals!$O$4:$O$123,Actuals!$D$4:$D$123,"Cloud Services",Actuals!$A$4:$A$123,H$3)+SUMIFS(Actuals!$P$4:$P$123,Actuals!$D$4:$D$123,"Cloud Services",Actuals!$A$4:$A$123,H$3)</f>
        <v>0.94001933196552456</v>
      </c>
      <c r="I11" s="47">
        <f>SUMIFS(Actuals!$N$4:$N$123,Actuals!$D$4:$D$123,"Cloud Services",Actuals!$A$4:$A$123,I$3)+SUMIFS(Actuals!$O$4:$O$123,Actuals!$D$4:$D$123,"Cloud Services",Actuals!$A$4:$A$123,I$3)+SUMIFS(Actuals!$P$4:$P$123,Actuals!$D$4:$D$123,"Cloud Services",Actuals!$A$4:$A$123,I$3)</f>
        <v>0.94441797226485646</v>
      </c>
      <c r="J11" s="47">
        <f>SUMIFS(Actuals!$N$4:$N$123,Actuals!$D$4:$D$123,"Cloud Services",Actuals!$A$4:$A$123,J$3)+SUMIFS(Actuals!$O$4:$O$123,Actuals!$D$4:$D$123,"Cloud Services",Actuals!$A$4:$A$123,J$3)+SUMIFS(Actuals!$P$4:$P$123,Actuals!$D$4:$D$123,"Cloud Services",Actuals!$A$4:$A$123,J$3)</f>
        <v>1.0627391535408388</v>
      </c>
      <c r="K11" s="47">
        <f>SUMIFS(Actuals!$N$4:$N$123,Actuals!$D$4:$D$123,"Cloud Services",Actuals!$A$4:$A$123,K$3)+SUMIFS(Actuals!$O$4:$O$123,Actuals!$D$4:$D$123,"Cloud Services",Actuals!$A$4:$A$123,K$3)+SUMIFS(Actuals!$P$4:$P$123,Actuals!$D$4:$D$123,"Cloud Services",Actuals!$A$4:$A$123,K$3)</f>
        <v>1.0797733264205298</v>
      </c>
      <c r="L11" s="47">
        <f>SUMIFS(Actuals!$N$4:$N$123,Actuals!$D$4:$D$123,"Cloud Services",Actuals!$A$4:$A$123,L$3)+SUMIFS(Actuals!$O$4:$O$123,Actuals!$D$4:$D$123,"Cloud Services",Actuals!$A$4:$A$123,L$3)+SUMIFS(Actuals!$P$4:$P$123,Actuals!$D$4:$D$123,"Cloud Services",Actuals!$A$4:$A$123,L$3)</f>
        <v>0.98980946852117624</v>
      </c>
      <c r="M11" s="47">
        <f>SUMIFS(Actuals!$N$4:$N$123,Actuals!$D$4:$D$123,"Cloud Services",Actuals!$A$4:$A$123,M$3)+SUMIFS(Actuals!$O$4:$O$123,Actuals!$D$4:$D$123,"Cloud Services",Actuals!$A$4:$A$123,M$3)+SUMIFS(Actuals!$P$4:$P$123,Actuals!$D$4:$D$123,"Cloud Services",Actuals!$A$4:$A$123,M$3)</f>
        <v>0.96108107673429743</v>
      </c>
      <c r="N11" s="47">
        <f>SUMIFS(Actuals!$N$4:$N$123,Actuals!$D$4:$D$123,"Cloud Services",Actuals!$A$4:$A$123,N$3)+SUMIFS(Actuals!$O$4:$O$123,Actuals!$D$4:$D$123,"Cloud Services",Actuals!$A$4:$A$123,N$3)+SUMIFS(Actuals!$P$4:$P$123,Actuals!$D$4:$D$123,"Cloud Services",Actuals!$A$4:$A$123,N$3)</f>
        <v>1.0351343254474357</v>
      </c>
      <c r="O11" s="47">
        <f>SUMIFS(Actuals!$N$4:$N$123,Actuals!$D$4:$D$123,"Cloud Services",Actuals!$A$4:$A$123,O$3)+SUMIFS(Actuals!$O$4:$O$123,Actuals!$D$4:$D$123,"Cloud Services",Actuals!$A$4:$A$123,O$3)+SUMIFS(Actuals!$P$4:$P$123,Actuals!$D$4:$D$123,"Cloud Services",Actuals!$A$4:$A$123,O$3)</f>
        <v>1.1161736987773057</v>
      </c>
      <c r="P11" s="47">
        <f>SUMIFS(Actuals!$N$4:$N$123,Actuals!$D$4:$D$123,"Cloud Services",Actuals!$A$4:$A$123,P$3)+SUMIFS(Actuals!$O$4:$O$123,Actuals!$D$4:$D$123,"Cloud Services",Actuals!$A$4:$A$123,P$3)+SUMIFS(Actuals!$P$4:$P$123,Actuals!$D$4:$D$123,"Cloud Services",Actuals!$A$4:$A$123,P$3)</f>
        <v>1.121855019883881</v>
      </c>
      <c r="Q11" s="47">
        <f>SUMIFS(Actuals!$N$4:$N$123,Actuals!$D$4:$D$123,"Cloud Services",Actuals!$A$4:$A$123,Q$3)+SUMIFS(Actuals!$O$4:$O$123,Actuals!$D$4:$D$123,"Cloud Services",Actuals!$A$4:$A$123,Q$3)+SUMIFS(Actuals!$P$4:$P$123,Actuals!$D$4:$D$123,"Cloud Services",Actuals!$A$4:$A$123,Q$3)</f>
        <v>1.0202798041059573</v>
      </c>
      <c r="R11" s="47">
        <f>SUMIFS(Actuals!$N$4:$N$123,Actuals!$D$4:$D$123,"Cloud Services",Actuals!$A$4:$A$123,R$3)+SUMIFS(Actuals!$O$4:$O$123,Actuals!$D$4:$D$123,"Cloud Services",Actuals!$A$4:$A$123,R$3)+SUMIFS(Actuals!$P$4:$P$123,Actuals!$D$4:$D$123,"Cloud Services",Actuals!$A$4:$A$123,R$3)</f>
        <v>1.055707431520527</v>
      </c>
      <c r="S11" s="47">
        <f>SUMIFS(Actuals!$N$4:$N$123,Actuals!$D$4:$D$123,"Cloud Services",Actuals!$A$4:$A$123,S$3)+SUMIFS(Actuals!$O$4:$O$123,Actuals!$D$4:$D$123,"Cloud Services",Actuals!$A$4:$A$123,S$3)+SUMIFS(Actuals!$P$4:$P$123,Actuals!$D$4:$D$123,"Cloud Services",Actuals!$A$4:$A$123,S$3)</f>
        <v>1.0713082959217226</v>
      </c>
      <c r="T11" s="47">
        <f>SUMIFS(Actuals!$N$4:$N$123,Actuals!$D$4:$D$123,"Cloud Services",Actuals!$A$4:$A$123,T$3)+SUMIFS(Actuals!$O$4:$O$123,Actuals!$D$4:$D$123,"Cloud Services",Actuals!$A$4:$A$123,T$3)+SUMIFS(Actuals!$P$4:$P$123,Actuals!$D$4:$D$123,"Cloud Services",Actuals!$A$4:$A$123,T$3)</f>
        <v>1.0919610876525934</v>
      </c>
      <c r="U11" s="47">
        <f>SUMIFS(Actuals!$N$4:$N$123,Actuals!$D$4:$D$123,"Cloud Services",Actuals!$A$4:$A$123,U$3)+SUMIFS(Actuals!$O$4:$O$123,Actuals!$D$4:$D$123,"Cloud Services",Actuals!$A$4:$A$123,U$3)+SUMIFS(Actuals!$P$4:$P$123,Actuals!$D$4:$D$123,"Cloud Services",Actuals!$A$4:$A$123,U$3)</f>
        <v>1.1030703538317177</v>
      </c>
      <c r="V11" s="47">
        <f>SUMIFS(Actuals!$N$4:$N$123,Actuals!$D$4:$D$123,"Cloud Services",Actuals!$A$4:$A$123,V$3)+SUMIFS(Actuals!$O$4:$O$123,Actuals!$D$4:$D$123,"Cloud Services",Actuals!$A$4:$A$123,V$3)+SUMIFS(Actuals!$P$4:$P$123,Actuals!$D$4:$D$123,"Cloud Services",Actuals!$A$4:$A$123,V$3)</f>
        <v>1.216629803788805</v>
      </c>
      <c r="W11" s="47">
        <f>SUMIFS(Actuals!$N$4:$N$123,Actuals!$D$4:$D$123,"Cloud Services",Actuals!$A$4:$A$123,W$3)+SUMIFS(Actuals!$O$4:$O$123,Actuals!$D$4:$D$123,"Cloud Services",Actuals!$A$4:$A$123,W$3)+SUMIFS(Actuals!$P$4:$P$123,Actuals!$D$4:$D$123,"Cloud Services",Actuals!$A$4:$A$123,W$3)</f>
        <v>1.2343444269318864</v>
      </c>
      <c r="X11" s="47">
        <f>SUMIFS(Actuals!$N$4:$N$123,Actuals!$D$4:$D$123,"Cloud Services",Actuals!$A$4:$A$123,X$3)+SUMIFS(Actuals!$O$4:$O$123,Actuals!$D$4:$D$123,"Cloud Services",Actuals!$A$4:$A$123,X$3)+SUMIFS(Actuals!$P$4:$P$123,Actuals!$D$4:$D$123,"Cloud Services",Actuals!$A$4:$A$123,X$3)</f>
        <v>1.138142649438306</v>
      </c>
      <c r="Y11" s="47">
        <f>SUMIFS(Actuals!$N$4:$N$123,Actuals!$D$4:$D$123,"Cloud Services",Actuals!$A$4:$A$123,Y$3)+SUMIFS(Actuals!$O$4:$O$123,Actuals!$D$4:$D$123,"Cloud Services",Actuals!$A$4:$A$123,Y$3)+SUMIFS(Actuals!$P$4:$P$123,Actuals!$D$4:$D$123,"Cloud Services",Actuals!$A$4:$A$123,Y$3)</f>
        <v>1.0960003613798288</v>
      </c>
      <c r="Z11" s="47">
        <f>Z4*Assumptions!$B$25*(1+Assumptions!$B$9)</f>
        <v>1.659179188485</v>
      </c>
      <c r="AA11" s="47">
        <f>AA4*Assumptions!$B$25*(1+Assumptions!$B$9)</f>
        <v>1.66470978577995</v>
      </c>
      <c r="AB11" s="47">
        <f>AB4*Assumptions!$B$25*(1+Assumptions!$B$9)</f>
        <v>1.6702588183992158</v>
      </c>
      <c r="AC11" s="47">
        <f>AC4*Assumptions!$B$25*(1+Assumptions!$B$9)</f>
        <v>1.6758263477938804</v>
      </c>
      <c r="AD11" s="47">
        <f>AD4*Assumptions!$B$25*(1+Assumptions!$B$9)</f>
        <v>1.6814124356198592</v>
      </c>
      <c r="AE11" s="47">
        <f>AE4*Assumptions!$B$25*(1+Assumptions!$B$9)</f>
        <v>1.6870171437385921</v>
      </c>
      <c r="AF11" s="47">
        <f>AF4*Assumptions!$B$25*(1+Assumptions!$B$9)</f>
        <v>1.6926405342177211</v>
      </c>
      <c r="AG11" s="47">
        <f>AG4*Assumptions!$B$25*(1+Assumptions!$B$9)</f>
        <v>1.6982826693317801</v>
      </c>
      <c r="AH11" s="47">
        <f>AH4*Assumptions!$B$25*(1+Assumptions!$B$9)</f>
        <v>1.7039436115628863</v>
      </c>
      <c r="AI11" s="47">
        <f>AI4*Assumptions!$B$25*(1+Assumptions!$B$9)</f>
        <v>1.7096234236014292</v>
      </c>
      <c r="AJ11" s="47">
        <f>AJ4*Assumptions!$B$25*(1+Assumptions!$B$9)</f>
        <v>1.715322168346767</v>
      </c>
      <c r="AK11" s="47">
        <f>AK4*Assumptions!$B$25*(1+Assumptions!$B$9)</f>
        <v>1.7210399089079229</v>
      </c>
      <c r="AL11" s="17">
        <f t="shared" si="0"/>
        <v>10.650619563042298</v>
      </c>
      <c r="AM11" s="17">
        <f t="shared" si="1"/>
        <v>13.300607258679969</v>
      </c>
      <c r="AN11" s="17">
        <f t="shared" si="2"/>
        <v>20.279256035785004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17" t="s">
        <v>119</v>
      </c>
      <c r="B12" s="50">
        <f t="shared" ref="B12:AK12" si="5">B7-B9-B10-B11</f>
        <v>7.5406140011699945</v>
      </c>
      <c r="C12" s="50">
        <f t="shared" si="5"/>
        <v>7.6779376840745703</v>
      </c>
      <c r="D12" s="50">
        <f t="shared" si="5"/>
        <v>7.7312770390502292</v>
      </c>
      <c r="E12" s="50">
        <f t="shared" si="5"/>
        <v>7.3248137424981472</v>
      </c>
      <c r="F12" s="50">
        <f t="shared" si="5"/>
        <v>8.5258290453103545</v>
      </c>
      <c r="G12" s="50">
        <f t="shared" si="5"/>
        <v>8.311125499340811</v>
      </c>
      <c r="H12" s="50">
        <f t="shared" si="5"/>
        <v>8.5368716510279601</v>
      </c>
      <c r="I12" s="50">
        <f t="shared" si="5"/>
        <v>8.5272154740584991</v>
      </c>
      <c r="J12" s="50">
        <f t="shared" si="5"/>
        <v>9.2392508095536314</v>
      </c>
      <c r="K12" s="50">
        <f t="shared" si="5"/>
        <v>9.5111000121229399</v>
      </c>
      <c r="L12" s="50">
        <f t="shared" si="5"/>
        <v>9.4217420055704828</v>
      </c>
      <c r="M12" s="50">
        <f t="shared" si="5"/>
        <v>8.5848302217814805</v>
      </c>
      <c r="N12" s="50">
        <f t="shared" si="5"/>
        <v>9.4371044049234598</v>
      </c>
      <c r="O12" s="50">
        <f t="shared" si="5"/>
        <v>9.1046252334478446</v>
      </c>
      <c r="P12" s="50">
        <f t="shared" si="5"/>
        <v>9.1088999439989102</v>
      </c>
      <c r="Q12" s="50">
        <f t="shared" si="5"/>
        <v>8.687403996979322</v>
      </c>
      <c r="R12" s="50">
        <f t="shared" si="5"/>
        <v>9.5721105815820486</v>
      </c>
      <c r="S12" s="50">
        <f t="shared" si="5"/>
        <v>9.8354488342674635</v>
      </c>
      <c r="T12" s="50">
        <f t="shared" si="5"/>
        <v>10.224944938880039</v>
      </c>
      <c r="U12" s="50">
        <f t="shared" si="5"/>
        <v>10.376118002630948</v>
      </c>
      <c r="V12" s="50">
        <f t="shared" si="5"/>
        <v>10.655039851147931</v>
      </c>
      <c r="W12" s="50">
        <f t="shared" si="5"/>
        <v>10.935771962332574</v>
      </c>
      <c r="X12" s="50">
        <f t="shared" si="5"/>
        <v>10.999451162362138</v>
      </c>
      <c r="Y12" s="50">
        <f t="shared" si="5"/>
        <v>9.8208145800129483</v>
      </c>
      <c r="Z12" s="50">
        <f t="shared" si="5"/>
        <v>10.677087345348331</v>
      </c>
      <c r="AA12" s="50">
        <f t="shared" si="5"/>
        <v>10.712677636499494</v>
      </c>
      <c r="AB12" s="50">
        <f t="shared" si="5"/>
        <v>10.748386561954481</v>
      </c>
      <c r="AC12" s="50">
        <f t="shared" si="5"/>
        <v>10.78421451716101</v>
      </c>
      <c r="AD12" s="50">
        <f t="shared" si="5"/>
        <v>10.820161898884869</v>
      </c>
      <c r="AE12" s="50">
        <f t="shared" si="5"/>
        <v>10.856229105214489</v>
      </c>
      <c r="AF12" s="50">
        <f t="shared" si="5"/>
        <v>10.892416535565202</v>
      </c>
      <c r="AG12" s="50">
        <f t="shared" si="5"/>
        <v>10.928724590683755</v>
      </c>
      <c r="AH12" s="50">
        <f t="shared" si="5"/>
        <v>10.965153672652702</v>
      </c>
      <c r="AI12" s="50">
        <f t="shared" si="5"/>
        <v>11.00170418489488</v>
      </c>
      <c r="AJ12" s="50">
        <f t="shared" si="5"/>
        <v>11.038376532177857</v>
      </c>
      <c r="AK12" s="50">
        <f t="shared" si="5"/>
        <v>11.075171120618451</v>
      </c>
      <c r="AL12" s="17">
        <f t="shared" si="0"/>
        <v>93.391993184389094</v>
      </c>
      <c r="AM12" s="17">
        <f t="shared" si="1"/>
        <v>118.75773349256562</v>
      </c>
      <c r="AN12" s="17">
        <f t="shared" si="2"/>
        <v>130.50030370165553</v>
      </c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17" t="s">
        <v>36</v>
      </c>
      <c r="B13" s="64">
        <f t="shared" ref="B13:AK13" si="6">IFERROR(B12/B4,0)</f>
        <v>0.30981817908260434</v>
      </c>
      <c r="C13" s="64">
        <f t="shared" si="6"/>
        <v>0.31076009171015317</v>
      </c>
      <c r="D13" s="64">
        <f t="shared" si="6"/>
        <v>0.31049476502977147</v>
      </c>
      <c r="E13" s="64">
        <f t="shared" si="6"/>
        <v>0.29900166848183329</v>
      </c>
      <c r="F13" s="64">
        <f t="shared" si="6"/>
        <v>0.33002978457548726</v>
      </c>
      <c r="G13" s="64">
        <f t="shared" si="6"/>
        <v>0.32304298855226221</v>
      </c>
      <c r="H13" s="64">
        <f t="shared" si="6"/>
        <v>0.32693729691112128</v>
      </c>
      <c r="I13" s="64">
        <f t="shared" si="6"/>
        <v>0.32504650068223745</v>
      </c>
      <c r="J13" s="64">
        <f t="shared" si="6"/>
        <v>0.33905853602178859</v>
      </c>
      <c r="K13" s="64">
        <f t="shared" si="6"/>
        <v>0.34352849009749542</v>
      </c>
      <c r="L13" s="64">
        <f t="shared" si="6"/>
        <v>0.34267475002769265</v>
      </c>
      <c r="M13" s="64">
        <f t="shared" si="6"/>
        <v>0.32156900751212592</v>
      </c>
      <c r="N13" s="64">
        <f t="shared" si="6"/>
        <v>0.32820451435652487</v>
      </c>
      <c r="O13" s="64">
        <f t="shared" si="6"/>
        <v>0.31812287325300082</v>
      </c>
      <c r="P13" s="64">
        <f t="shared" si="6"/>
        <v>0.31666043429812146</v>
      </c>
      <c r="Q13" s="64">
        <f t="shared" si="6"/>
        <v>0.30653017204952582</v>
      </c>
      <c r="R13" s="64">
        <f t="shared" si="6"/>
        <v>0.32641238533353406</v>
      </c>
      <c r="S13" s="64">
        <f t="shared" si="6"/>
        <v>0.33050818273463645</v>
      </c>
      <c r="T13" s="64">
        <f t="shared" si="6"/>
        <v>0.33709810904616366</v>
      </c>
      <c r="U13" s="64">
        <f t="shared" si="6"/>
        <v>0.33863683018689916</v>
      </c>
      <c r="V13" s="64">
        <f t="shared" si="6"/>
        <v>0.34155546157153333</v>
      </c>
      <c r="W13" s="64">
        <f t="shared" si="6"/>
        <v>0.3455235809595511</v>
      </c>
      <c r="X13" s="64">
        <f t="shared" si="6"/>
        <v>0.34791793633290208</v>
      </c>
      <c r="Y13" s="64">
        <f t="shared" si="6"/>
        <v>0.32258139443983308</v>
      </c>
      <c r="Z13" s="64">
        <f t="shared" si="6"/>
        <v>0.30406141818133681</v>
      </c>
      <c r="AA13" s="64">
        <f t="shared" si="6"/>
        <v>0.30406141818133692</v>
      </c>
      <c r="AB13" s="64">
        <f t="shared" si="6"/>
        <v>0.3040614181813367</v>
      </c>
      <c r="AC13" s="64">
        <f t="shared" si="6"/>
        <v>0.30406141818133697</v>
      </c>
      <c r="AD13" s="64">
        <f t="shared" si="6"/>
        <v>0.30406141818133681</v>
      </c>
      <c r="AE13" s="64">
        <f t="shared" si="6"/>
        <v>0.30406141818133686</v>
      </c>
      <c r="AF13" s="64">
        <f t="shared" si="6"/>
        <v>0.30406141818133675</v>
      </c>
      <c r="AG13" s="64">
        <f t="shared" si="6"/>
        <v>0.30406141818133686</v>
      </c>
      <c r="AH13" s="64">
        <f t="shared" si="6"/>
        <v>0.30406141818133686</v>
      </c>
      <c r="AI13" s="64">
        <f t="shared" si="6"/>
        <v>0.30406141818133692</v>
      </c>
      <c r="AJ13" s="64">
        <f t="shared" si="6"/>
        <v>0.30406141818133681</v>
      </c>
      <c r="AK13" s="64">
        <f t="shared" si="6"/>
        <v>0.30406141818133686</v>
      </c>
      <c r="AL13" s="17">
        <f t="shared" si="0"/>
        <v>3.5721438796019691</v>
      </c>
      <c r="AM13" s="17">
        <f t="shared" si="1"/>
        <v>3.9597518745622269</v>
      </c>
      <c r="AN13" s="17">
        <f t="shared" si="2"/>
        <v>3.648737018176043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>
        <f t="shared" si="0"/>
        <v>0</v>
      </c>
      <c r="AM14" s="17">
        <f t="shared" si="1"/>
        <v>0</v>
      </c>
      <c r="AN14" s="17">
        <f t="shared" si="2"/>
        <v>0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>
        <f t="shared" si="0"/>
        <v>0</v>
      </c>
      <c r="AM15" s="17">
        <f t="shared" si="1"/>
        <v>0</v>
      </c>
      <c r="AN15" s="17">
        <f t="shared" si="2"/>
        <v>0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62" t="s">
        <v>124</v>
      </c>
      <c r="B16" s="63">
        <f>SUMIFS(Actuals!$I$4:$I$123,Actuals!$D$4:$D$123,"Data &amp; Analytics",Actuals!$A$4:$A$123,B$3)</f>
        <v>23.170454516541138</v>
      </c>
      <c r="C16" s="63">
        <v>23.217227015758681</v>
      </c>
      <c r="D16" s="63">
        <v>23.598755977556888</v>
      </c>
      <c r="E16" s="63">
        <v>23.461296449487463</v>
      </c>
      <c r="F16" s="63">
        <v>24.039083142325254</v>
      </c>
      <c r="G16" s="63">
        <v>24.541667333011439</v>
      </c>
      <c r="H16" s="63">
        <v>24.94967750177814</v>
      </c>
      <c r="I16" s="63">
        <v>25.486363874344072</v>
      </c>
      <c r="J16" s="63">
        <v>25.871694149696186</v>
      </c>
      <c r="K16" s="63">
        <v>26.377179649751518</v>
      </c>
      <c r="L16" s="63">
        <v>26.058330736100302</v>
      </c>
      <c r="M16" s="63">
        <v>25.564790200313158</v>
      </c>
      <c r="N16" s="63">
        <v>27.196933221067557</v>
      </c>
      <c r="O16" s="63">
        <v>27.888025078284272</v>
      </c>
      <c r="P16" s="63">
        <v>28.215856143673967</v>
      </c>
      <c r="Q16" s="63">
        <v>27.2683604332288</v>
      </c>
      <c r="R16" s="63">
        <v>28.400420992786174</v>
      </c>
      <c r="S16" s="63">
        <v>28.965154880708607</v>
      </c>
      <c r="T16" s="63">
        <v>29.663865162443024</v>
      </c>
      <c r="U16" s="63">
        <v>29.470500260535882</v>
      </c>
      <c r="V16" s="63">
        <v>30.365348843987238</v>
      </c>
      <c r="W16" s="63">
        <v>30.652095304493454</v>
      </c>
      <c r="X16" s="63">
        <v>30.617856016924346</v>
      </c>
      <c r="Y16" s="63">
        <v>30.21938704442573</v>
      </c>
      <c r="Z16" s="63">
        <v>33.925248000000003</v>
      </c>
      <c r="AA16" s="63">
        <v>34.038332159999996</v>
      </c>
      <c r="AB16" s="63">
        <v>34.151793267199999</v>
      </c>
      <c r="AC16" s="63">
        <v>34.265632578090667</v>
      </c>
      <c r="AD16" s="63">
        <v>34.379851353350965</v>
      </c>
      <c r="AE16" s="63">
        <v>34.494450857862134</v>
      </c>
      <c r="AF16" s="63">
        <v>34.609432360721669</v>
      </c>
      <c r="AG16" s="63">
        <v>34.724797135257425</v>
      </c>
      <c r="AH16" s="63">
        <v>34.840546459041612</v>
      </c>
      <c r="AI16" s="63">
        <v>34.956681613905083</v>
      </c>
      <c r="AJ16" s="63">
        <v>35.073203885951436</v>
      </c>
      <c r="AK16" s="63">
        <v>35.190114565571285</v>
      </c>
      <c r="AL16" s="17">
        <f t="shared" si="0"/>
        <v>273.16606603012309</v>
      </c>
      <c r="AM16" s="17">
        <f t="shared" si="1"/>
        <v>348.92380338255902</v>
      </c>
      <c r="AN16" s="17">
        <f t="shared" si="2"/>
        <v>414.65008423695218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7" t="s">
        <v>113</v>
      </c>
      <c r="B17" s="47">
        <f>SUMIFS(Actuals!$J$4:$J$123,Actuals!$D$4:$D$123,"Data &amp; Analytics",Actuals!$A$4:$A$123,B$3)</f>
        <v>11.22</v>
      </c>
      <c r="C17" s="47">
        <f>SUMIFS(Actuals!$J$4:$J$123,Actuals!$D$4:$D$123,"Data &amp; Analytics",Actuals!$A$4:$A$123,C$3)</f>
        <v>11.33</v>
      </c>
      <c r="D17" s="47">
        <f>SUMIFS(Actuals!$J$4:$J$123,Actuals!$D$4:$D$123,"Data &amp; Analytics",Actuals!$A$4:$A$123,D$3)</f>
        <v>11.44</v>
      </c>
      <c r="E17" s="47">
        <f>SUMIFS(Actuals!$J$4:$J$123,Actuals!$D$4:$D$123,"Data &amp; Analytics",Actuals!$A$4:$A$123,E$3)</f>
        <v>11.55</v>
      </c>
      <c r="F17" s="47">
        <f>SUMIFS(Actuals!$J$4:$J$123,Actuals!$D$4:$D$123,"Data &amp; Analytics",Actuals!$A$4:$A$123,F$3)</f>
        <v>11.55</v>
      </c>
      <c r="G17" s="47">
        <f>SUMIFS(Actuals!$J$4:$J$123,Actuals!$D$4:$D$123,"Data &amp; Analytics",Actuals!$A$4:$A$123,G$3)</f>
        <v>11.66</v>
      </c>
      <c r="H17" s="47">
        <f>SUMIFS(Actuals!$J$4:$J$123,Actuals!$D$4:$D$123,"Data &amp; Analytics",Actuals!$A$4:$A$123,H$3)</f>
        <v>11.77</v>
      </c>
      <c r="I17" s="47">
        <f>SUMIFS(Actuals!$J$4:$J$123,Actuals!$D$4:$D$123,"Data &amp; Analytics",Actuals!$A$4:$A$123,I$3)</f>
        <v>11.88</v>
      </c>
      <c r="J17" s="47">
        <f>SUMIFS(Actuals!$J$4:$J$123,Actuals!$D$4:$D$123,"Data &amp; Analytics",Actuals!$A$4:$A$123,J$3)</f>
        <v>11.99</v>
      </c>
      <c r="K17" s="47">
        <f>SUMIFS(Actuals!$J$4:$J$123,Actuals!$D$4:$D$123,"Data &amp; Analytics",Actuals!$A$4:$A$123,K$3)</f>
        <v>12.1</v>
      </c>
      <c r="L17" s="47">
        <f>SUMIFS(Actuals!$J$4:$J$123,Actuals!$D$4:$D$123,"Data &amp; Analytics",Actuals!$A$4:$A$123,L$3)</f>
        <v>12.21</v>
      </c>
      <c r="M17" s="47">
        <f>SUMIFS(Actuals!$J$4:$J$123,Actuals!$D$4:$D$123,"Data &amp; Analytics",Actuals!$A$4:$A$123,M$3)</f>
        <v>12.32</v>
      </c>
      <c r="N17" s="47">
        <f>SUMIFS(Actuals!$J$4:$J$123,Actuals!$D$4:$D$123,"Data &amp; Analytics",Actuals!$A$4:$A$123,N$3)</f>
        <v>13.059200000000001</v>
      </c>
      <c r="O17" s="47">
        <f>SUMIFS(Actuals!$J$4:$J$123,Actuals!$D$4:$D$123,"Data &amp; Analytics",Actuals!$A$4:$A$123,O$3)</f>
        <v>13.175800000000001</v>
      </c>
      <c r="P17" s="47">
        <f>SUMIFS(Actuals!$J$4:$J$123,Actuals!$D$4:$D$123,"Data &amp; Analytics",Actuals!$A$4:$A$123,P$3)</f>
        <v>13.292400000000001</v>
      </c>
      <c r="Q17" s="47">
        <f>SUMIFS(Actuals!$J$4:$J$123,Actuals!$D$4:$D$123,"Data &amp; Analytics",Actuals!$A$4:$A$123,Q$3)</f>
        <v>13.409000000000001</v>
      </c>
      <c r="R17" s="47">
        <f>SUMIFS(Actuals!$J$4:$J$123,Actuals!$D$4:$D$123,"Data &amp; Analytics",Actuals!$A$4:$A$123,R$3)</f>
        <v>13.525600000000001</v>
      </c>
      <c r="S17" s="47">
        <f>SUMIFS(Actuals!$J$4:$J$123,Actuals!$D$4:$D$123,"Data &amp; Analytics",Actuals!$A$4:$A$123,S$3)</f>
        <v>13.642200000000001</v>
      </c>
      <c r="T17" s="47">
        <f>SUMIFS(Actuals!$J$4:$J$123,Actuals!$D$4:$D$123,"Data &amp; Analytics",Actuals!$A$4:$A$123,T$3)</f>
        <v>13.758800000000001</v>
      </c>
      <c r="U17" s="47">
        <f>SUMIFS(Actuals!$J$4:$J$123,Actuals!$D$4:$D$123,"Data &amp; Analytics",Actuals!$A$4:$A$123,U$3)</f>
        <v>13.758800000000001</v>
      </c>
      <c r="V17" s="47">
        <f>SUMIFS(Actuals!$J$4:$J$123,Actuals!$D$4:$D$123,"Data &amp; Analytics",Actuals!$A$4:$A$123,V$3)</f>
        <v>13.875400000000001</v>
      </c>
      <c r="W17" s="47">
        <f>SUMIFS(Actuals!$J$4:$J$123,Actuals!$D$4:$D$123,"Data &amp; Analytics",Actuals!$A$4:$A$123,W$3)</f>
        <v>13.992000000000001</v>
      </c>
      <c r="X17" s="47">
        <f>SUMIFS(Actuals!$J$4:$J$123,Actuals!$D$4:$D$123,"Data &amp; Analytics",Actuals!$A$4:$A$123,X$3)</f>
        <v>14.108600000000001</v>
      </c>
      <c r="Y17" s="47">
        <f>SUMIFS(Actuals!$J$4:$J$123,Actuals!$D$4:$D$123,"Data &amp; Analytics",Actuals!$A$4:$A$123,Y$3)</f>
        <v>14.225200000000001</v>
      </c>
      <c r="Z17" s="47">
        <f>'Headcount Plan'!K5</f>
        <v>15.926500000000001</v>
      </c>
      <c r="AA17" s="47">
        <f>'Headcount Plan'!K10</f>
        <v>15.979588333333332</v>
      </c>
      <c r="AB17" s="47">
        <f>'Headcount Plan'!K15</f>
        <v>16.032853627777776</v>
      </c>
      <c r="AC17" s="47">
        <f>'Headcount Plan'!K20</f>
        <v>16.086296473203703</v>
      </c>
      <c r="AD17" s="47">
        <f>'Headcount Plan'!K25</f>
        <v>16.139917461447716</v>
      </c>
      <c r="AE17" s="47">
        <f>'Headcount Plan'!K30</f>
        <v>16.193717186319205</v>
      </c>
      <c r="AF17" s="47">
        <f>'Headcount Plan'!K35</f>
        <v>16.247696243606939</v>
      </c>
      <c r="AG17" s="47">
        <f>'Headcount Plan'!K40</f>
        <v>16.301855231085632</v>
      </c>
      <c r="AH17" s="47">
        <f>'Headcount Plan'!K45</f>
        <v>16.356194748522583</v>
      </c>
      <c r="AI17" s="47">
        <f>'Headcount Plan'!K50</f>
        <v>16.410715397684324</v>
      </c>
      <c r="AJ17" s="47">
        <f>'Headcount Plan'!K55</f>
        <v>16.465417782343273</v>
      </c>
      <c r="AK17" s="47">
        <f>'Headcount Plan'!K60</f>
        <v>16.52030250828442</v>
      </c>
      <c r="AL17" s="17">
        <f t="shared" si="0"/>
        <v>129.79999999999998</v>
      </c>
      <c r="AM17" s="17">
        <f t="shared" si="1"/>
        <v>163.82300000000001</v>
      </c>
      <c r="AN17" s="17">
        <f t="shared" si="2"/>
        <v>194.66105499360893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17" t="s">
        <v>114</v>
      </c>
      <c r="B18" s="47">
        <f>SUMIFS(Actuals!$K$4:$K$123,Actuals!$D$4:$D$123,"Data &amp; Analytics",Actuals!$A$4:$A$123,B$3)</f>
        <v>1.5987613616413388</v>
      </c>
      <c r="C18" s="47">
        <f>SUMIFS(Actuals!$K$4:$K$123,Actuals!$D$4:$D$123,"Data &amp; Analytics",Actuals!$A$4:$A$123,C$3)</f>
        <v>1.6019886640873491</v>
      </c>
      <c r="D18" s="47">
        <f>SUMIFS(Actuals!$K$4:$K$123,Actuals!$D$4:$D$123,"Data &amp; Analytics",Actuals!$A$4:$A$123,D$3)</f>
        <v>1.6283141624514255</v>
      </c>
      <c r="E18" s="47">
        <f>SUMIFS(Actuals!$K$4:$K$123,Actuals!$D$4:$D$123,"Data &amp; Analytics",Actuals!$A$4:$A$123,E$3)</f>
        <v>1.6188294550146352</v>
      </c>
      <c r="F18" s="47">
        <f>SUMIFS(Actuals!$K$4:$K$123,Actuals!$D$4:$D$123,"Data &amp; Analytics",Actuals!$A$4:$A$123,F$3)</f>
        <v>1.6586967368204426</v>
      </c>
      <c r="G18" s="47">
        <f>SUMIFS(Actuals!$K$4:$K$123,Actuals!$D$4:$D$123,"Data &amp; Analytics",Actuals!$A$4:$A$123,G$3)</f>
        <v>1.6933750459777894</v>
      </c>
      <c r="H18" s="47">
        <f>SUMIFS(Actuals!$K$4:$K$123,Actuals!$D$4:$D$123,"Data &amp; Analytics",Actuals!$A$4:$A$123,H$3)</f>
        <v>1.7215277476226918</v>
      </c>
      <c r="I18" s="47">
        <f>SUMIFS(Actuals!$K$4:$K$123,Actuals!$D$4:$D$123,"Data &amp; Analytics",Actuals!$A$4:$A$123,I$3)</f>
        <v>1.7585591073297411</v>
      </c>
      <c r="J18" s="47">
        <f>SUMIFS(Actuals!$K$4:$K$123,Actuals!$D$4:$D$123,"Data &amp; Analytics",Actuals!$A$4:$A$123,J$3)</f>
        <v>1.7851468963290369</v>
      </c>
      <c r="K18" s="47">
        <f>SUMIFS(Actuals!$K$4:$K$123,Actuals!$D$4:$D$123,"Data &amp; Analytics",Actuals!$A$4:$A$123,K$3)</f>
        <v>1.8200253958328549</v>
      </c>
      <c r="L18" s="47">
        <f>SUMIFS(Actuals!$K$4:$K$123,Actuals!$D$4:$D$123,"Data &amp; Analytics",Actuals!$A$4:$A$123,L$3)</f>
        <v>1.7980248207909211</v>
      </c>
      <c r="M18" s="47">
        <f>SUMIFS(Actuals!$K$4:$K$123,Actuals!$D$4:$D$123,"Data &amp; Analytics",Actuals!$A$4:$A$123,M$3)</f>
        <v>1.7639705238216081</v>
      </c>
      <c r="N18" s="47">
        <f>SUMIFS(Actuals!$K$4:$K$123,Actuals!$D$4:$D$123,"Data &amp; Analytics",Actuals!$A$4:$A$123,N$3)</f>
        <v>1.8765883922536615</v>
      </c>
      <c r="O18" s="47">
        <f>SUMIFS(Actuals!$K$4:$K$123,Actuals!$D$4:$D$123,"Data &amp; Analytics",Actuals!$A$4:$A$123,O$3)</f>
        <v>1.9242737304016149</v>
      </c>
      <c r="P18" s="47">
        <f>SUMIFS(Actuals!$K$4:$K$123,Actuals!$D$4:$D$123,"Data &amp; Analytics",Actuals!$A$4:$A$123,P$3)</f>
        <v>1.9468940739135039</v>
      </c>
      <c r="Q18" s="47">
        <f>SUMIFS(Actuals!$K$4:$K$123,Actuals!$D$4:$D$123,"Data &amp; Analytics",Actuals!$A$4:$A$123,Q$3)</f>
        <v>1.8815168698927873</v>
      </c>
      <c r="R18" s="47">
        <f>SUMIFS(Actuals!$K$4:$K$123,Actuals!$D$4:$D$123,"Data &amp; Analytics",Actuals!$A$4:$A$123,R$3)</f>
        <v>1.9596290485022461</v>
      </c>
      <c r="S18" s="47">
        <f>SUMIFS(Actuals!$K$4:$K$123,Actuals!$D$4:$D$123,"Data &amp; Analytics",Actuals!$A$4:$A$123,S$3)</f>
        <v>1.9985956867688941</v>
      </c>
      <c r="T18" s="47">
        <f>SUMIFS(Actuals!$K$4:$K$123,Actuals!$D$4:$D$123,"Data &amp; Analytics",Actuals!$A$4:$A$123,T$3)</f>
        <v>2.0468066962085687</v>
      </c>
      <c r="U18" s="47">
        <f>SUMIFS(Actuals!$K$4:$K$123,Actuals!$D$4:$D$123,"Data &amp; Analytics",Actuals!$A$4:$A$123,U$3)</f>
        <v>2.0334645179769759</v>
      </c>
      <c r="V18" s="47">
        <f>SUMIFS(Actuals!$K$4:$K$123,Actuals!$D$4:$D$123,"Data &amp; Analytics",Actuals!$A$4:$A$123,V$3)</f>
        <v>2.0952090702351196</v>
      </c>
      <c r="W18" s="47">
        <f>SUMIFS(Actuals!$K$4:$K$123,Actuals!$D$4:$D$123,"Data &amp; Analytics",Actuals!$A$4:$A$123,W$3)</f>
        <v>2.1149945760100484</v>
      </c>
      <c r="X18" s="47">
        <f>SUMIFS(Actuals!$K$4:$K$123,Actuals!$D$4:$D$123,"Data &amp; Analytics",Actuals!$A$4:$A$123,X$3)</f>
        <v>2.1126320651677801</v>
      </c>
      <c r="Y18" s="47">
        <f>SUMIFS(Actuals!$K$4:$K$123,Actuals!$D$4:$D$123,"Data &amp; Analytics",Actuals!$A$4:$A$123,Y$3)</f>
        <v>2.0851377060653755</v>
      </c>
      <c r="Z18" s="47">
        <f>Z16*Assumptions!$B$23</f>
        <v>2.5443936000000003</v>
      </c>
      <c r="AA18" s="47">
        <f>AA16*Assumptions!$B$23</f>
        <v>2.5528749119999996</v>
      </c>
      <c r="AB18" s="47">
        <f>AB16*Assumptions!$B$23</f>
        <v>2.56138449504</v>
      </c>
      <c r="AC18" s="47">
        <f>AC16*Assumptions!$B$23</f>
        <v>2.5699224433567998</v>
      </c>
      <c r="AD18" s="47">
        <f>AD16*Assumptions!$B$23</f>
        <v>2.5784888515013225</v>
      </c>
      <c r="AE18" s="47">
        <f>AE16*Assumptions!$B$23</f>
        <v>2.5870838143396599</v>
      </c>
      <c r="AF18" s="47">
        <f>AF16*Assumptions!$B$23</f>
        <v>2.5957074270541249</v>
      </c>
      <c r="AG18" s="47">
        <f>AG16*Assumptions!$B$23</f>
        <v>2.604359785144307</v>
      </c>
      <c r="AH18" s="47">
        <f>AH16*Assumptions!$B$23</f>
        <v>2.6130409844281206</v>
      </c>
      <c r="AI18" s="47">
        <f>AI16*Assumptions!$B$23</f>
        <v>2.6217511210428812</v>
      </c>
      <c r="AJ18" s="47">
        <f>AJ16*Assumptions!$B$23</f>
        <v>2.6304902914463577</v>
      </c>
      <c r="AK18" s="47">
        <f>AK16*Assumptions!$B$23</f>
        <v>2.6392585924178462</v>
      </c>
      <c r="AL18" s="17">
        <f t="shared" si="0"/>
        <v>18.848458556078498</v>
      </c>
      <c r="AM18" s="17">
        <f t="shared" si="1"/>
        <v>24.075742433396574</v>
      </c>
      <c r="AN18" s="17">
        <f t="shared" si="2"/>
        <v>31.098756317771421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7" t="s">
        <v>115</v>
      </c>
      <c r="B19" s="50">
        <f t="shared" ref="B19:AK19" si="7">B16-B17-B18</f>
        <v>10.351693154899799</v>
      </c>
      <c r="C19" s="50">
        <f t="shared" si="7"/>
        <v>10.285238351671332</v>
      </c>
      <c r="D19" s="50">
        <f t="shared" si="7"/>
        <v>10.530441815105462</v>
      </c>
      <c r="E19" s="50">
        <f t="shared" si="7"/>
        <v>10.292466994472827</v>
      </c>
      <c r="F19" s="50">
        <f t="shared" si="7"/>
        <v>10.830386405504811</v>
      </c>
      <c r="G19" s="50">
        <f t="shared" si="7"/>
        <v>11.188292287033649</v>
      </c>
      <c r="H19" s="50">
        <f t="shared" si="7"/>
        <v>11.45814975415545</v>
      </c>
      <c r="I19" s="50">
        <f t="shared" si="7"/>
        <v>11.847804767014329</v>
      </c>
      <c r="J19" s="50">
        <f t="shared" si="7"/>
        <v>12.096547253367149</v>
      </c>
      <c r="K19" s="50">
        <f t="shared" si="7"/>
        <v>12.457154253918663</v>
      </c>
      <c r="L19" s="50">
        <f t="shared" si="7"/>
        <v>12.05030591530938</v>
      </c>
      <c r="M19" s="50">
        <f t="shared" si="7"/>
        <v>11.480819676491549</v>
      </c>
      <c r="N19" s="50">
        <f t="shared" si="7"/>
        <v>12.261144828813894</v>
      </c>
      <c r="O19" s="50">
        <f t="shared" si="7"/>
        <v>12.787951347882657</v>
      </c>
      <c r="P19" s="50">
        <f t="shared" si="7"/>
        <v>12.976562069760464</v>
      </c>
      <c r="Q19" s="50">
        <f t="shared" si="7"/>
        <v>11.977843563336013</v>
      </c>
      <c r="R19" s="50">
        <f t="shared" si="7"/>
        <v>12.915191944283928</v>
      </c>
      <c r="S19" s="50">
        <f t="shared" si="7"/>
        <v>13.324359193939712</v>
      </c>
      <c r="T19" s="50">
        <f t="shared" si="7"/>
        <v>13.858258466234455</v>
      </c>
      <c r="U19" s="50">
        <f t="shared" si="7"/>
        <v>13.678235742558906</v>
      </c>
      <c r="V19" s="50">
        <f t="shared" si="7"/>
        <v>14.394739773752116</v>
      </c>
      <c r="W19" s="50">
        <f t="shared" si="7"/>
        <v>14.545100728483405</v>
      </c>
      <c r="X19" s="50">
        <f t="shared" si="7"/>
        <v>14.396623951756567</v>
      </c>
      <c r="Y19" s="50">
        <f t="shared" si="7"/>
        <v>13.909049338360354</v>
      </c>
      <c r="Z19" s="50">
        <f t="shared" si="7"/>
        <v>15.454354400000003</v>
      </c>
      <c r="AA19" s="50">
        <f t="shared" si="7"/>
        <v>15.505868914666664</v>
      </c>
      <c r="AB19" s="50">
        <f t="shared" si="7"/>
        <v>15.557555144382222</v>
      </c>
      <c r="AC19" s="50">
        <f t="shared" si="7"/>
        <v>15.609413661530164</v>
      </c>
      <c r="AD19" s="50">
        <f t="shared" si="7"/>
        <v>15.661445040401926</v>
      </c>
      <c r="AE19" s="50">
        <f t="shared" si="7"/>
        <v>15.713649857203269</v>
      </c>
      <c r="AF19" s="50">
        <f t="shared" si="7"/>
        <v>15.766028690060606</v>
      </c>
      <c r="AG19" s="50">
        <f t="shared" si="7"/>
        <v>15.818582119027486</v>
      </c>
      <c r="AH19" s="50">
        <f t="shared" si="7"/>
        <v>15.871310726090908</v>
      </c>
      <c r="AI19" s="50">
        <f t="shared" si="7"/>
        <v>15.924215095177878</v>
      </c>
      <c r="AJ19" s="50">
        <f t="shared" si="7"/>
        <v>15.977295812161806</v>
      </c>
      <c r="AK19" s="50">
        <f t="shared" si="7"/>
        <v>16.030553464869019</v>
      </c>
      <c r="AL19" s="17">
        <f t="shared" si="0"/>
        <v>124.5176074740446</v>
      </c>
      <c r="AM19" s="17">
        <f t="shared" si="1"/>
        <v>161.02506094916245</v>
      </c>
      <c r="AN19" s="17">
        <f t="shared" si="2"/>
        <v>188.89027292557196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17" t="s">
        <v>34</v>
      </c>
      <c r="B20" s="64">
        <f t="shared" ref="B20:AK20" si="8">IFERROR(B19/B16,0)</f>
        <v>0.44676262813531931</v>
      </c>
      <c r="C20" s="64">
        <f t="shared" si="8"/>
        <v>0.44300029218348219</v>
      </c>
      <c r="D20" s="64">
        <f t="shared" si="8"/>
        <v>0.44622868362723112</v>
      </c>
      <c r="E20" s="64">
        <f t="shared" si="8"/>
        <v>0.43869983982482252</v>
      </c>
      <c r="F20" s="64">
        <f t="shared" si="8"/>
        <v>0.45053242427686069</v>
      </c>
      <c r="G20" s="64">
        <f t="shared" si="8"/>
        <v>0.45588965636348899</v>
      </c>
      <c r="H20" s="64">
        <f t="shared" si="8"/>
        <v>0.45925041529449984</v>
      </c>
      <c r="I20" s="64">
        <f t="shared" si="8"/>
        <v>0.46486838316473067</v>
      </c>
      <c r="J20" s="64">
        <f t="shared" si="8"/>
        <v>0.46755914720448255</v>
      </c>
      <c r="K20" s="64">
        <f t="shared" si="8"/>
        <v>0.47227013726753814</v>
      </c>
      <c r="L20" s="64">
        <f t="shared" si="8"/>
        <v>0.46243583433436536</v>
      </c>
      <c r="M20" s="64">
        <f t="shared" si="8"/>
        <v>0.44908718540357567</v>
      </c>
      <c r="N20" s="64">
        <f t="shared" si="8"/>
        <v>0.45082821394421208</v>
      </c>
      <c r="O20" s="64">
        <f t="shared" si="8"/>
        <v>0.45854632273119705</v>
      </c>
      <c r="P20" s="64">
        <f t="shared" si="8"/>
        <v>0.45990318364554839</v>
      </c>
      <c r="Q20" s="64">
        <f t="shared" si="8"/>
        <v>0.43925793018123666</v>
      </c>
      <c r="R20" s="64">
        <f t="shared" si="8"/>
        <v>0.45475353860298201</v>
      </c>
      <c r="S20" s="64">
        <f t="shared" si="8"/>
        <v>0.46001339363850635</v>
      </c>
      <c r="T20" s="64">
        <f t="shared" si="8"/>
        <v>0.46717642459419578</v>
      </c>
      <c r="U20" s="64">
        <f t="shared" si="8"/>
        <v>0.46413313726050015</v>
      </c>
      <c r="V20" s="64">
        <f t="shared" si="8"/>
        <v>0.47405151996475337</v>
      </c>
      <c r="W20" s="64">
        <f t="shared" si="8"/>
        <v>0.47452223360245005</v>
      </c>
      <c r="X20" s="64">
        <f t="shared" si="8"/>
        <v>0.47020352907135887</v>
      </c>
      <c r="Y20" s="64">
        <f t="shared" si="8"/>
        <v>0.4602690755412267</v>
      </c>
      <c r="Z20" s="64">
        <f t="shared" si="8"/>
        <v>0.45554138321995469</v>
      </c>
      <c r="AA20" s="64">
        <f t="shared" si="8"/>
        <v>0.45554138321995463</v>
      </c>
      <c r="AB20" s="64">
        <f t="shared" si="8"/>
        <v>0.45554138321995469</v>
      </c>
      <c r="AC20" s="64">
        <f t="shared" si="8"/>
        <v>0.45554138321995469</v>
      </c>
      <c r="AD20" s="64">
        <f t="shared" si="8"/>
        <v>0.45554138321995458</v>
      </c>
      <c r="AE20" s="64">
        <f t="shared" si="8"/>
        <v>0.45554138321995469</v>
      </c>
      <c r="AF20" s="64">
        <f t="shared" si="8"/>
        <v>0.45554138321995458</v>
      </c>
      <c r="AG20" s="64">
        <f t="shared" si="8"/>
        <v>0.45554138321995463</v>
      </c>
      <c r="AH20" s="64">
        <f t="shared" si="8"/>
        <v>0.45554138321995463</v>
      </c>
      <c r="AI20" s="64">
        <f t="shared" si="8"/>
        <v>0.45554138321995463</v>
      </c>
      <c r="AJ20" s="64">
        <f t="shared" si="8"/>
        <v>0.45554138321995463</v>
      </c>
      <c r="AK20" s="64">
        <f t="shared" si="8"/>
        <v>0.45554138321995474</v>
      </c>
      <c r="AL20" s="17">
        <f t="shared" si="0"/>
        <v>5.0098219989450774</v>
      </c>
      <c r="AM20" s="17">
        <f t="shared" si="1"/>
        <v>5.5336585027781675</v>
      </c>
      <c r="AN20" s="17">
        <f t="shared" si="2"/>
        <v>5.4664965986394556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7" t="s">
        <v>116</v>
      </c>
      <c r="B21" s="47">
        <f>SUMIFS(Actuals!$L$4:$L$123,Actuals!$D$4:$D$123,"Data &amp; Analytics",Actuals!$A$4:$A$123,B$3)</f>
        <v>1.02</v>
      </c>
      <c r="C21" s="47">
        <f>SUMIFS(Actuals!$L$4:$L$123,Actuals!$D$4:$D$123,"Data &amp; Analytics",Actuals!$A$4:$A$123,C$3)</f>
        <v>1.03</v>
      </c>
      <c r="D21" s="47">
        <f>SUMIFS(Actuals!$L$4:$L$123,Actuals!$D$4:$D$123,"Data &amp; Analytics",Actuals!$A$4:$A$123,D$3)</f>
        <v>1.04</v>
      </c>
      <c r="E21" s="47">
        <f>SUMIFS(Actuals!$L$4:$L$123,Actuals!$D$4:$D$123,"Data &amp; Analytics",Actuals!$A$4:$A$123,E$3)</f>
        <v>1.05</v>
      </c>
      <c r="F21" s="47">
        <f>SUMIFS(Actuals!$L$4:$L$123,Actuals!$D$4:$D$123,"Data &amp; Analytics",Actuals!$A$4:$A$123,F$3)</f>
        <v>1.05</v>
      </c>
      <c r="G21" s="47">
        <f>SUMIFS(Actuals!$L$4:$L$123,Actuals!$D$4:$D$123,"Data &amp; Analytics",Actuals!$A$4:$A$123,G$3)</f>
        <v>1.06</v>
      </c>
      <c r="H21" s="47">
        <f>SUMIFS(Actuals!$L$4:$L$123,Actuals!$D$4:$D$123,"Data &amp; Analytics",Actuals!$A$4:$A$123,H$3)</f>
        <v>1.07</v>
      </c>
      <c r="I21" s="47">
        <f>SUMIFS(Actuals!$L$4:$L$123,Actuals!$D$4:$D$123,"Data &amp; Analytics",Actuals!$A$4:$A$123,I$3)</f>
        <v>1.08</v>
      </c>
      <c r="J21" s="47">
        <f>SUMIFS(Actuals!$L$4:$L$123,Actuals!$D$4:$D$123,"Data &amp; Analytics",Actuals!$A$4:$A$123,J$3)</f>
        <v>1.0900000000000001</v>
      </c>
      <c r="K21" s="47">
        <f>SUMIFS(Actuals!$L$4:$L$123,Actuals!$D$4:$D$123,"Data &amp; Analytics",Actuals!$A$4:$A$123,K$3)</f>
        <v>1.1000000000000001</v>
      </c>
      <c r="L21" s="47">
        <f>SUMIFS(Actuals!$L$4:$L$123,Actuals!$D$4:$D$123,"Data &amp; Analytics",Actuals!$A$4:$A$123,L$3)</f>
        <v>1.1100000000000001</v>
      </c>
      <c r="M21" s="47">
        <f>SUMIFS(Actuals!$L$4:$L$123,Actuals!$D$4:$D$123,"Data &amp; Analytics",Actuals!$A$4:$A$123,M$3)</f>
        <v>1.1200000000000001</v>
      </c>
      <c r="N21" s="47">
        <f>SUMIFS(Actuals!$L$4:$L$123,Actuals!$D$4:$D$123,"Data &amp; Analytics",Actuals!$A$4:$A$123,N$3)</f>
        <v>1.1760000000000002</v>
      </c>
      <c r="O21" s="47">
        <f>SUMIFS(Actuals!$L$4:$L$123,Actuals!$D$4:$D$123,"Data &amp; Analytics",Actuals!$A$4:$A$123,O$3)</f>
        <v>1.1865000000000001</v>
      </c>
      <c r="P21" s="47">
        <f>SUMIFS(Actuals!$L$4:$L$123,Actuals!$D$4:$D$123,"Data &amp; Analytics",Actuals!$A$4:$A$123,P$3)</f>
        <v>1.1970000000000003</v>
      </c>
      <c r="Q21" s="47">
        <f>SUMIFS(Actuals!$L$4:$L$123,Actuals!$D$4:$D$123,"Data &amp; Analytics",Actuals!$A$4:$A$123,Q$3)</f>
        <v>1.2075000000000002</v>
      </c>
      <c r="R21" s="47">
        <f>SUMIFS(Actuals!$L$4:$L$123,Actuals!$D$4:$D$123,"Data &amp; Analytics",Actuals!$A$4:$A$123,R$3)</f>
        <v>1.218</v>
      </c>
      <c r="S21" s="47">
        <f>SUMIFS(Actuals!$L$4:$L$123,Actuals!$D$4:$D$123,"Data &amp; Analytics",Actuals!$A$4:$A$123,S$3)</f>
        <v>1.2284999999999999</v>
      </c>
      <c r="T21" s="47">
        <f>SUMIFS(Actuals!$L$4:$L$123,Actuals!$D$4:$D$123,"Data &amp; Analytics",Actuals!$A$4:$A$123,T$3)</f>
        <v>1.2389999999999999</v>
      </c>
      <c r="U21" s="47">
        <f>SUMIFS(Actuals!$L$4:$L$123,Actuals!$D$4:$D$123,"Data &amp; Analytics",Actuals!$A$4:$A$123,U$3)</f>
        <v>1.2389999999999999</v>
      </c>
      <c r="V21" s="47">
        <f>SUMIFS(Actuals!$L$4:$L$123,Actuals!$D$4:$D$123,"Data &amp; Analytics",Actuals!$A$4:$A$123,V$3)</f>
        <v>1.2495000000000001</v>
      </c>
      <c r="W21" s="47">
        <f>SUMIFS(Actuals!$L$4:$L$123,Actuals!$D$4:$D$123,"Data &amp; Analytics",Actuals!$A$4:$A$123,W$3)</f>
        <v>1.26</v>
      </c>
      <c r="X21" s="47">
        <f>SUMIFS(Actuals!$L$4:$L$123,Actuals!$D$4:$D$123,"Data &amp; Analytics",Actuals!$A$4:$A$123,X$3)</f>
        <v>1.2705</v>
      </c>
      <c r="Y21" s="47">
        <f>SUMIFS(Actuals!$L$4:$L$123,Actuals!$D$4:$D$123,"Data &amp; Analytics",Actuals!$A$4:$A$123,Y$3)</f>
        <v>1.2809999999999999</v>
      </c>
      <c r="Z21" s="47">
        <f>'Headcount Plan'!G5*Assumptions!G14*(1+Assumptions!$B$9)</f>
        <v>1.44615625</v>
      </c>
      <c r="AA21" s="47">
        <f>'Headcount Plan'!G10*Assumptions!G14*(1+Assumptions!$B$9)</f>
        <v>1.4509767708333332</v>
      </c>
      <c r="AB21" s="47">
        <f>'Headcount Plan'!G15*Assumptions!G14*(1+Assumptions!$B$9)</f>
        <v>1.4558133600694441</v>
      </c>
      <c r="AC21" s="47">
        <f>'Headcount Plan'!G20*Assumptions!G14*(1+Assumptions!$B$9)</f>
        <v>1.460666071269676</v>
      </c>
      <c r="AD21" s="47">
        <f>'Headcount Plan'!G25*Assumptions!G14*(1+Assumptions!$B$9)</f>
        <v>1.4655349581739081</v>
      </c>
      <c r="AE21" s="47">
        <f>'Headcount Plan'!G30*Assumptions!G14*(1+Assumptions!$B$9)</f>
        <v>1.4704200747011542</v>
      </c>
      <c r="AF21" s="47">
        <f>'Headcount Plan'!G35*Assumptions!G14*(1+Assumptions!$B$9)</f>
        <v>1.4753214749501582</v>
      </c>
      <c r="AG21" s="47">
        <f>'Headcount Plan'!G40*Assumptions!G14*(1+Assumptions!$B$9)</f>
        <v>1.4802392131999924</v>
      </c>
      <c r="AH21" s="47">
        <f>'Headcount Plan'!G45*Assumptions!G14*(1+Assumptions!$B$9)</f>
        <v>1.4851733439106589</v>
      </c>
      <c r="AI21" s="47">
        <f>'Headcount Plan'!G50*Assumptions!G14*(1+Assumptions!$B$9)</f>
        <v>1.4901239217236943</v>
      </c>
      <c r="AJ21" s="47">
        <f>'Headcount Plan'!G55*Assumptions!G14*(1+Assumptions!$B$9)</f>
        <v>1.4950910014627734</v>
      </c>
      <c r="AK21" s="47">
        <f>'Headcount Plan'!G60*Assumptions!G14*(1+Assumptions!$B$9)</f>
        <v>1.5000746381343164</v>
      </c>
      <c r="AL21" s="17">
        <f t="shared" si="0"/>
        <v>11.8</v>
      </c>
      <c r="AM21" s="17">
        <f t="shared" si="1"/>
        <v>14.752500000000001</v>
      </c>
      <c r="AN21" s="17">
        <f t="shared" si="2"/>
        <v>17.675591078429107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7" t="s">
        <v>117</v>
      </c>
      <c r="B22" s="47">
        <f>SUMIFS(Actuals!$M$4:$M$123,Actuals!$D$4:$D$123,"Data &amp; Analytics",Actuals!$A$4:$A$123,B$3)</f>
        <v>0.56099999999999994</v>
      </c>
      <c r="C22" s="47">
        <v>0.5665</v>
      </c>
      <c r="D22" s="47">
        <v>0.57199999999999995</v>
      </c>
      <c r="E22" s="47">
        <v>0.57750000000000001</v>
      </c>
      <c r="F22" s="47">
        <v>0.57750000000000001</v>
      </c>
      <c r="G22" s="47">
        <v>0.58299999999999996</v>
      </c>
      <c r="H22" s="47">
        <v>0.58849999999999991</v>
      </c>
      <c r="I22" s="47">
        <v>0.59399999999999997</v>
      </c>
      <c r="J22" s="47">
        <v>0.59949999999999992</v>
      </c>
      <c r="K22" s="47">
        <v>0.60499999999999998</v>
      </c>
      <c r="L22" s="47">
        <v>0.61049999999999993</v>
      </c>
      <c r="M22" s="47">
        <v>0.61599999999999999</v>
      </c>
      <c r="N22" s="47">
        <v>0.61599999999999999</v>
      </c>
      <c r="O22" s="47">
        <v>0.62149999999999994</v>
      </c>
      <c r="P22" s="47">
        <v>0.627</v>
      </c>
      <c r="Q22" s="47">
        <v>0.63249999999999995</v>
      </c>
      <c r="R22" s="47">
        <v>0.63800000000000001</v>
      </c>
      <c r="S22" s="47">
        <v>0.64349999999999996</v>
      </c>
      <c r="T22" s="47">
        <v>0.64899999999999991</v>
      </c>
      <c r="U22" s="47">
        <v>0.64899999999999991</v>
      </c>
      <c r="V22" s="47">
        <v>0.65449999999999997</v>
      </c>
      <c r="W22" s="47">
        <v>0.65999999999999992</v>
      </c>
      <c r="X22" s="47">
        <v>0.66549999999999998</v>
      </c>
      <c r="Y22" s="47">
        <v>0.67099999999999993</v>
      </c>
      <c r="Z22" s="47">
        <v>0.78881250000000003</v>
      </c>
      <c r="AA22" s="47">
        <v>0.79144187499999996</v>
      </c>
      <c r="AB22" s="47">
        <v>0.79408001458333322</v>
      </c>
      <c r="AC22" s="47">
        <v>0.79672694796527788</v>
      </c>
      <c r="AD22" s="47">
        <v>0.79938270445849535</v>
      </c>
      <c r="AE22" s="47">
        <v>0.802047313473357</v>
      </c>
      <c r="AF22" s="47">
        <v>0.80472080451826811</v>
      </c>
      <c r="AG22" s="47">
        <v>0.80740320719999592</v>
      </c>
      <c r="AH22" s="47">
        <v>0.81009455122399587</v>
      </c>
      <c r="AI22" s="47">
        <v>0.81279486639474241</v>
      </c>
      <c r="AJ22" s="47">
        <v>0.8155041826160585</v>
      </c>
      <c r="AK22" s="47">
        <v>0.81822252989144528</v>
      </c>
      <c r="AL22" s="17">
        <f t="shared" si="0"/>
        <v>6.49</v>
      </c>
      <c r="AM22" s="17">
        <f t="shared" si="1"/>
        <v>7.7274999999999991</v>
      </c>
      <c r="AN22" s="17">
        <f t="shared" si="2"/>
        <v>9.6412314973249682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7" t="s">
        <v>123</v>
      </c>
      <c r="B23" s="47">
        <v>0.83413636259548096</v>
      </c>
      <c r="C23" s="47">
        <v>0.90547185361458848</v>
      </c>
      <c r="D23" s="47">
        <v>0.92035148312471871</v>
      </c>
      <c r="E23" s="47">
        <v>0.84460667218154861</v>
      </c>
      <c r="F23" s="47">
        <v>0.86540699312370917</v>
      </c>
      <c r="G23" s="47">
        <v>0.88350002398841188</v>
      </c>
      <c r="H23" s="47">
        <v>0.89818839006401308</v>
      </c>
      <c r="I23" s="47">
        <v>0.91750909947638659</v>
      </c>
      <c r="J23" s="47">
        <v>1.0089960718381512</v>
      </c>
      <c r="K23" s="47">
        <v>1.0287100063403092</v>
      </c>
      <c r="L23" s="47">
        <v>0.93809990649961084</v>
      </c>
      <c r="M23" s="47">
        <v>0.92033244721127372</v>
      </c>
      <c r="N23" s="47">
        <v>0.97908959595843204</v>
      </c>
      <c r="O23" s="47">
        <v>1.0876329780530867</v>
      </c>
      <c r="P23" s="47">
        <v>1.1004183896032849</v>
      </c>
      <c r="Q23" s="47">
        <v>0.98166097559623688</v>
      </c>
      <c r="R23" s="47">
        <v>1.0224151557403023</v>
      </c>
      <c r="S23" s="47">
        <v>1.0427455757055097</v>
      </c>
      <c r="T23" s="47">
        <v>1.067899145847949</v>
      </c>
      <c r="U23" s="47">
        <v>1.0609380093792917</v>
      </c>
      <c r="V23" s="47">
        <v>1.1842486049155023</v>
      </c>
      <c r="W23" s="47">
        <v>1.1954317168752446</v>
      </c>
      <c r="X23" s="47">
        <v>1.1022428166092764</v>
      </c>
      <c r="Y23" s="47">
        <v>1.0878979335993264</v>
      </c>
      <c r="Z23" s="47">
        <v>1.6029679680000002</v>
      </c>
      <c r="AA23" s="47">
        <v>1.6083111945599999</v>
      </c>
      <c r="AB23" s="47">
        <v>1.6136722318752001</v>
      </c>
      <c r="AC23" s="47">
        <v>1.6190511393147839</v>
      </c>
      <c r="AD23" s="47">
        <v>1.6244479764458331</v>
      </c>
      <c r="AE23" s="47">
        <v>1.6298628030339857</v>
      </c>
      <c r="AF23" s="47">
        <v>1.6352956790440989</v>
      </c>
      <c r="AG23" s="47">
        <v>1.6407466646409132</v>
      </c>
      <c r="AH23" s="47">
        <v>1.6462158201897161</v>
      </c>
      <c r="AI23" s="47">
        <v>1.6517032062570152</v>
      </c>
      <c r="AJ23" s="47">
        <v>1.6572088836112053</v>
      </c>
      <c r="AK23" s="47">
        <v>1.6627329132232431</v>
      </c>
      <c r="AL23" s="17">
        <f t="shared" si="0"/>
        <v>10.131172947462723</v>
      </c>
      <c r="AM23" s="17">
        <f t="shared" si="1"/>
        <v>12.912620897883443</v>
      </c>
      <c r="AN23" s="17">
        <f t="shared" si="2"/>
        <v>19.592216480195994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7" t="s">
        <v>119</v>
      </c>
      <c r="B24" s="50">
        <v>7.9365567923043185</v>
      </c>
      <c r="C24" s="50">
        <f t="shared" ref="C24:Y24" si="9">C19-C21-C22-C23</f>
        <v>7.7832664980567445</v>
      </c>
      <c r="D24" s="50">
        <f t="shared" si="9"/>
        <v>7.9980903319807446</v>
      </c>
      <c r="E24" s="50">
        <f t="shared" si="9"/>
        <v>7.8203603222912772</v>
      </c>
      <c r="F24" s="50">
        <f t="shared" si="9"/>
        <v>8.3374794123811</v>
      </c>
      <c r="G24" s="50">
        <f t="shared" si="9"/>
        <v>8.6617922630452355</v>
      </c>
      <c r="H24" s="50">
        <f t="shared" si="9"/>
        <v>8.9014613640914373</v>
      </c>
      <c r="I24" s="50">
        <f t="shared" si="9"/>
        <v>9.2562956675379429</v>
      </c>
      <c r="J24" s="50">
        <f t="shared" si="9"/>
        <v>9.3980511815289987</v>
      </c>
      <c r="K24" s="50">
        <f t="shared" si="9"/>
        <v>9.7234442475783531</v>
      </c>
      <c r="L24" s="50">
        <f t="shared" si="9"/>
        <v>9.3917060088097699</v>
      </c>
      <c r="M24" s="50">
        <f t="shared" si="9"/>
        <v>8.8244872292802743</v>
      </c>
      <c r="N24" s="50">
        <f t="shared" si="9"/>
        <v>9.490055232855461</v>
      </c>
      <c r="O24" s="50">
        <f t="shared" si="9"/>
        <v>9.8923183698295709</v>
      </c>
      <c r="P24" s="50">
        <f t="shared" si="9"/>
        <v>10.052143680157178</v>
      </c>
      <c r="Q24" s="50">
        <f t="shared" si="9"/>
        <v>9.1561825877397762</v>
      </c>
      <c r="R24" s="50">
        <f t="shared" si="9"/>
        <v>10.036776788543625</v>
      </c>
      <c r="S24" s="50">
        <f t="shared" si="9"/>
        <v>10.409613618234202</v>
      </c>
      <c r="T24" s="50">
        <f t="shared" si="9"/>
        <v>10.902359320386507</v>
      </c>
      <c r="U24" s="50">
        <f t="shared" si="9"/>
        <v>10.729297733179616</v>
      </c>
      <c r="V24" s="50">
        <f t="shared" si="9"/>
        <v>11.306491168836613</v>
      </c>
      <c r="W24" s="50">
        <f t="shared" si="9"/>
        <v>11.42966901160816</v>
      </c>
      <c r="X24" s="50">
        <f t="shared" si="9"/>
        <v>11.35838113514729</v>
      </c>
      <c r="Y24" s="50">
        <f t="shared" si="9"/>
        <v>10.869151404761029</v>
      </c>
      <c r="Z24" s="50">
        <f t="shared" ref="Z24:AK24" si="10">Z19-Z21-Z22-Z23</f>
        <v>11.616417682000003</v>
      </c>
      <c r="AA24" s="50">
        <f t="shared" si="10"/>
        <v>11.655139074273329</v>
      </c>
      <c r="AB24" s="50">
        <f t="shared" si="10"/>
        <v>11.693989537854247</v>
      </c>
      <c r="AC24" s="50">
        <f t="shared" si="10"/>
        <v>11.732969502980426</v>
      </c>
      <c r="AD24" s="50">
        <f t="shared" si="10"/>
        <v>11.77207940132369</v>
      </c>
      <c r="AE24" s="50">
        <f t="shared" si="10"/>
        <v>11.811319665994771</v>
      </c>
      <c r="AF24" s="50">
        <f t="shared" si="10"/>
        <v>11.850690731548081</v>
      </c>
      <c r="AG24" s="50">
        <f t="shared" si="10"/>
        <v>11.890193033986584</v>
      </c>
      <c r="AH24" s="50">
        <f t="shared" si="10"/>
        <v>11.929827010766536</v>
      </c>
      <c r="AI24" s="50">
        <f t="shared" si="10"/>
        <v>11.969593100802427</v>
      </c>
      <c r="AJ24" s="50">
        <f t="shared" si="10"/>
        <v>12.00949174447177</v>
      </c>
      <c r="AK24" s="50">
        <f t="shared" si="10"/>
        <v>12.049523383620015</v>
      </c>
      <c r="AL24" s="17">
        <f t="shared" si="0"/>
        <v>96.096434526581888</v>
      </c>
      <c r="AM24" s="17">
        <f t="shared" si="1"/>
        <v>125.63244005127902</v>
      </c>
      <c r="AN24" s="17">
        <f t="shared" si="2"/>
        <v>141.98123386962189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7" t="s">
        <v>36</v>
      </c>
      <c r="B25" s="64">
        <v>0.3425291802816598</v>
      </c>
      <c r="C25" s="64">
        <f t="shared" ref="C25:Y25" si="11">IFERROR(C24/C16,0)</f>
        <v>0.33523669699115471</v>
      </c>
      <c r="D25" s="64">
        <f t="shared" si="11"/>
        <v>0.33891999813834101</v>
      </c>
      <c r="E25" s="64">
        <f t="shared" si="11"/>
        <v>0.33333027180013836</v>
      </c>
      <c r="F25" s="64">
        <f t="shared" si="11"/>
        <v>0.34683017497041829</v>
      </c>
      <c r="G25" s="64">
        <f t="shared" si="11"/>
        <v>0.3529422897601624</v>
      </c>
      <c r="H25" s="64">
        <f t="shared" si="11"/>
        <v>0.35677661017690665</v>
      </c>
      <c r="I25" s="64">
        <f t="shared" si="11"/>
        <v>0.3631862007924882</v>
      </c>
      <c r="J25" s="64">
        <f t="shared" si="11"/>
        <v>0.36325611794693241</v>
      </c>
      <c r="K25" s="64">
        <f t="shared" si="11"/>
        <v>0.36863092933705482</v>
      </c>
      <c r="L25" s="64">
        <f t="shared" si="11"/>
        <v>0.36041088371784413</v>
      </c>
      <c r="M25" s="64">
        <f t="shared" si="11"/>
        <v>0.34518128880135218</v>
      </c>
      <c r="N25" s="64">
        <f t="shared" si="11"/>
        <v>0.34893843198115371</v>
      </c>
      <c r="O25" s="64">
        <f t="shared" si="11"/>
        <v>0.3547156294524591</v>
      </c>
      <c r="P25" s="64">
        <f t="shared" si="11"/>
        <v>0.35625868054373683</v>
      </c>
      <c r="Q25" s="64">
        <f t="shared" si="11"/>
        <v>0.33578045919409932</v>
      </c>
      <c r="R25" s="64">
        <f t="shared" si="11"/>
        <v>0.3534023946720018</v>
      </c>
      <c r="S25" s="64">
        <f t="shared" si="11"/>
        <v>0.35938401369181772</v>
      </c>
      <c r="T25" s="64">
        <f t="shared" si="11"/>
        <v>0.36752996484725875</v>
      </c>
      <c r="U25" s="64">
        <f t="shared" si="11"/>
        <v>0.36406907376279868</v>
      </c>
      <c r="V25" s="64">
        <f t="shared" si="11"/>
        <v>0.37234846953110029</v>
      </c>
      <c r="W25" s="64">
        <f t="shared" si="11"/>
        <v>0.372883775091637</v>
      </c>
      <c r="X25" s="64">
        <f t="shared" si="11"/>
        <v>0.37097245244307192</v>
      </c>
      <c r="Y25" s="64">
        <f t="shared" si="11"/>
        <v>0.3596747805897656</v>
      </c>
      <c r="Z25" s="64">
        <f t="shared" ref="Z25:AK25" si="12">IFERROR(Z24/Z16,0)</f>
        <v>0.34241216695011345</v>
      </c>
      <c r="AA25" s="64">
        <f t="shared" si="12"/>
        <v>0.34241216695011328</v>
      </c>
      <c r="AB25" s="64">
        <f t="shared" si="12"/>
        <v>0.34241216695011345</v>
      </c>
      <c r="AC25" s="64">
        <f t="shared" si="12"/>
        <v>0.34241216695011339</v>
      </c>
      <c r="AD25" s="64">
        <f t="shared" si="12"/>
        <v>0.34241216695011334</v>
      </c>
      <c r="AE25" s="64">
        <f t="shared" si="12"/>
        <v>0.34241216695011339</v>
      </c>
      <c r="AF25" s="64">
        <f t="shared" si="12"/>
        <v>0.34241216695011328</v>
      </c>
      <c r="AG25" s="64">
        <f t="shared" si="12"/>
        <v>0.34241216695011339</v>
      </c>
      <c r="AH25" s="64">
        <f t="shared" si="12"/>
        <v>0.34241216695011334</v>
      </c>
      <c r="AI25" s="64">
        <f t="shared" si="12"/>
        <v>0.34241216695011339</v>
      </c>
      <c r="AJ25" s="64">
        <f t="shared" si="12"/>
        <v>0.34241216695011345</v>
      </c>
      <c r="AK25" s="64">
        <f t="shared" si="12"/>
        <v>0.34241216695011345</v>
      </c>
      <c r="AL25" s="17">
        <f t="shared" si="0"/>
        <v>3.8647014624327936</v>
      </c>
      <c r="AM25" s="17">
        <f t="shared" si="1"/>
        <v>4.3159581258009005</v>
      </c>
      <c r="AN25" s="17">
        <f t="shared" si="2"/>
        <v>4.1089460034013605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7"/>
      <c r="B26" s="17"/>
      <c r="C26" s="17">
        <f t="shared" ref="C26:Y26" si="13">C8-C14-C20</f>
        <v>-2.2227826664100725E-2</v>
      </c>
      <c r="D26" s="17">
        <f t="shared" si="13"/>
        <v>-2.5689350337473826E-2</v>
      </c>
      <c r="E26" s="17">
        <f t="shared" si="13"/>
        <v>-3.089502651442505E-2</v>
      </c>
      <c r="F26" s="17">
        <f t="shared" si="13"/>
        <v>-1.546441272517729E-2</v>
      </c>
      <c r="G26" s="17">
        <f t="shared" si="13"/>
        <v>-2.6960670606271164E-2</v>
      </c>
      <c r="H26" s="17">
        <f t="shared" si="13"/>
        <v>-2.6899652318200795E-2</v>
      </c>
      <c r="I26" s="17">
        <f t="shared" si="13"/>
        <v>-3.4178989259835812E-2</v>
      </c>
      <c r="J26" s="17">
        <f t="shared" si="13"/>
        <v>-2.1921939821321013E-2</v>
      </c>
      <c r="K26" s="17">
        <f t="shared" si="13"/>
        <v>-2.2705355173504527E-2</v>
      </c>
      <c r="L26" s="17">
        <f t="shared" si="13"/>
        <v>-1.6257183682417797E-2</v>
      </c>
      <c r="M26" s="17">
        <f t="shared" si="13"/>
        <v>-2.1453329430578039E-2</v>
      </c>
      <c r="N26" s="17">
        <f t="shared" si="13"/>
        <v>-1.9032471782776672E-2</v>
      </c>
      <c r="O26" s="17">
        <f t="shared" si="13"/>
        <v>-3.2993643182214927E-2</v>
      </c>
      <c r="P26" s="17">
        <f t="shared" si="13"/>
        <v>-3.5639767111838139E-2</v>
      </c>
      <c r="Q26" s="17">
        <f t="shared" si="13"/>
        <v>-2.6569944841733861E-2</v>
      </c>
      <c r="R26" s="17">
        <f t="shared" si="13"/>
        <v>-2.4537708998052576E-2</v>
      </c>
      <c r="S26" s="17">
        <f t="shared" si="13"/>
        <v>-2.6186773928684293E-2</v>
      </c>
      <c r="T26" s="17">
        <f t="shared" si="13"/>
        <v>-2.7540230243003561E-2</v>
      </c>
      <c r="U26" s="17">
        <f t="shared" si="13"/>
        <v>-2.3140430727416006E-2</v>
      </c>
      <c r="V26" s="17">
        <f t="shared" si="13"/>
        <v>-2.7841041763472907E-2</v>
      </c>
      <c r="W26" s="17">
        <f t="shared" si="13"/>
        <v>-2.4813524209990334E-2</v>
      </c>
      <c r="X26" s="17">
        <f t="shared" si="13"/>
        <v>-2.1028746387382613E-2</v>
      </c>
      <c r="Y26" s="17">
        <f t="shared" si="13"/>
        <v>-3.3430586819219399E-2</v>
      </c>
      <c r="Z26" s="17">
        <f t="shared" ref="Z26:AK26" si="14">Z8-Z14-Z20</f>
        <v>-3.4742090672694681E-2</v>
      </c>
      <c r="AA26" s="17">
        <f t="shared" si="14"/>
        <v>-3.4742090672694625E-2</v>
      </c>
      <c r="AB26" s="17">
        <f t="shared" si="14"/>
        <v>-3.4742090672694848E-2</v>
      </c>
      <c r="AC26" s="17">
        <f t="shared" si="14"/>
        <v>-3.4742090672694625E-2</v>
      </c>
      <c r="AD26" s="17">
        <f t="shared" si="14"/>
        <v>-3.474209067269457E-2</v>
      </c>
      <c r="AE26" s="17">
        <f t="shared" si="14"/>
        <v>-3.4742090672694681E-2</v>
      </c>
      <c r="AF26" s="17">
        <f t="shared" si="14"/>
        <v>-3.4742090672694625E-2</v>
      </c>
      <c r="AG26" s="17">
        <f t="shared" si="14"/>
        <v>-3.4742090672694625E-2</v>
      </c>
      <c r="AH26" s="17">
        <f t="shared" si="14"/>
        <v>-3.4742090672694625E-2</v>
      </c>
      <c r="AI26" s="17">
        <f t="shared" si="14"/>
        <v>-3.474209067269457E-2</v>
      </c>
      <c r="AJ26" s="17">
        <f t="shared" si="14"/>
        <v>-3.4742090672694681E-2</v>
      </c>
      <c r="AK26" s="17">
        <f t="shared" si="14"/>
        <v>-3.4742090672694736E-2</v>
      </c>
      <c r="AL26" s="17">
        <f t="shared" si="0"/>
        <v>-0.26465373653330604</v>
      </c>
      <c r="AM26" s="17">
        <f t="shared" si="1"/>
        <v>-0.32275486999578529</v>
      </c>
      <c r="AN26" s="17">
        <f t="shared" si="2"/>
        <v>-0.41690508807233589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17"/>
      <c r="B27" s="17"/>
      <c r="C27" s="17">
        <f t="shared" ref="C27:Y27" si="15">C9-C15-C21</f>
        <v>5.8999999999999941E-2</v>
      </c>
      <c r="D27" s="17">
        <f t="shared" si="15"/>
        <v>5.7999999999999829E-2</v>
      </c>
      <c r="E27" s="17">
        <f t="shared" si="15"/>
        <v>5.699999999999994E-2</v>
      </c>
      <c r="F27" s="17">
        <f t="shared" si="15"/>
        <v>5.699999999999994E-2</v>
      </c>
      <c r="G27" s="17">
        <f t="shared" si="15"/>
        <v>5.5999999999999828E-2</v>
      </c>
      <c r="H27" s="17">
        <f t="shared" si="15"/>
        <v>5.4999999999999938E-2</v>
      </c>
      <c r="I27" s="17">
        <f t="shared" si="15"/>
        <v>5.3999999999999826E-2</v>
      </c>
      <c r="J27" s="17">
        <f t="shared" si="15"/>
        <v>5.2999999999999936E-2</v>
      </c>
      <c r="K27" s="17">
        <f t="shared" si="15"/>
        <v>5.1999999999999824E-2</v>
      </c>
      <c r="L27" s="17">
        <f t="shared" si="15"/>
        <v>4.1999999999999815E-2</v>
      </c>
      <c r="M27" s="17">
        <f t="shared" si="15"/>
        <v>4.0999999999999703E-2</v>
      </c>
      <c r="N27" s="17">
        <f t="shared" si="15"/>
        <v>5.2499999999999769E-2</v>
      </c>
      <c r="O27" s="17">
        <f t="shared" si="15"/>
        <v>5.1449999999999774E-2</v>
      </c>
      <c r="P27" s="17">
        <f t="shared" si="15"/>
        <v>5.0399999999999778E-2</v>
      </c>
      <c r="Q27" s="17">
        <f t="shared" si="15"/>
        <v>4.9349999999999561E-2</v>
      </c>
      <c r="R27" s="17">
        <f t="shared" si="15"/>
        <v>3.8849999999999829E-2</v>
      </c>
      <c r="S27" s="17">
        <f t="shared" si="15"/>
        <v>3.7800000000000056E-2</v>
      </c>
      <c r="T27" s="17">
        <f t="shared" si="15"/>
        <v>3.675000000000006E-2</v>
      </c>
      <c r="U27" s="17">
        <f t="shared" si="15"/>
        <v>4.6200000000000241E-2</v>
      </c>
      <c r="V27" s="17">
        <f t="shared" si="15"/>
        <v>4.5149999999999801E-2</v>
      </c>
      <c r="W27" s="17">
        <f t="shared" si="15"/>
        <v>4.4100000000000028E-2</v>
      </c>
      <c r="X27" s="17">
        <f t="shared" si="15"/>
        <v>3.3600000000000074E-2</v>
      </c>
      <c r="Y27" s="17">
        <f t="shared" si="15"/>
        <v>3.2550000000000079E-2</v>
      </c>
      <c r="Z27" s="17">
        <f t="shared" ref="Z27:AK27" si="16">Z9-Z15-Z21</f>
        <v>7.8881250000000014E-2</v>
      </c>
      <c r="AA27" s="17">
        <f t="shared" si="16"/>
        <v>7.9144187500000296E-2</v>
      </c>
      <c r="AB27" s="17">
        <f t="shared" si="16"/>
        <v>7.9408001458333599E-2</v>
      </c>
      <c r="AC27" s="17">
        <f t="shared" si="16"/>
        <v>7.9672694796527388E-2</v>
      </c>
      <c r="AD27" s="17">
        <f t="shared" si="16"/>
        <v>7.9938270445848891E-2</v>
      </c>
      <c r="AE27" s="17">
        <f t="shared" si="16"/>
        <v>8.0204731347335523E-2</v>
      </c>
      <c r="AF27" s="17">
        <f t="shared" si="16"/>
        <v>8.0472080451826633E-2</v>
      </c>
      <c r="AG27" s="17">
        <f t="shared" si="16"/>
        <v>8.0740320719998815E-2</v>
      </c>
      <c r="AH27" s="17">
        <f t="shared" si="16"/>
        <v>8.100945512239921E-2</v>
      </c>
      <c r="AI27" s="17">
        <f t="shared" si="16"/>
        <v>8.1279486639473708E-2</v>
      </c>
      <c r="AJ27" s="17">
        <f t="shared" si="16"/>
        <v>8.155041826160514E-2</v>
      </c>
      <c r="AK27" s="17">
        <f t="shared" si="16"/>
        <v>8.1822252989143474E-2</v>
      </c>
      <c r="AL27" s="17">
        <f t="shared" si="0"/>
        <v>0.58399999999999852</v>
      </c>
      <c r="AM27" s="17">
        <f t="shared" si="1"/>
        <v>0.51869999999999905</v>
      </c>
      <c r="AN27" s="17">
        <f t="shared" si="2"/>
        <v>0.96412314973249269</v>
      </c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62" t="s">
        <v>125</v>
      </c>
      <c r="B28" s="63">
        <f>SUMIFS(Actuals!$I$4:$I$123,Actuals!$D$4:$D$123,"Cybersecurity",Actuals!$A$4:$A$123,B$3)</f>
        <v>20.028277191153197</v>
      </c>
      <c r="C28" s="63">
        <v>20.048426353475339</v>
      </c>
      <c r="D28" s="63">
        <v>20.40190672619114</v>
      </c>
      <c r="E28" s="63">
        <v>20.056818941604096</v>
      </c>
      <c r="F28" s="63">
        <v>21.051405470824314</v>
      </c>
      <c r="G28" s="63">
        <v>21.429690214467772</v>
      </c>
      <c r="H28" s="63">
        <v>21.712970652988833</v>
      </c>
      <c r="I28" s="63">
        <v>22.059670283405811</v>
      </c>
      <c r="J28" s="63">
        <v>23.038555289266835</v>
      </c>
      <c r="K28" s="63">
        <v>23.161401602488667</v>
      </c>
      <c r="L28" s="63">
        <v>22.62813207400665</v>
      </c>
      <c r="M28" s="63">
        <v>22.440877028887929</v>
      </c>
      <c r="N28" s="63">
        <v>24.053567889507455</v>
      </c>
      <c r="O28" s="63">
        <v>24.595190125595852</v>
      </c>
      <c r="P28" s="63">
        <v>24.878782495454214</v>
      </c>
      <c r="Q28" s="63">
        <v>24.227268988321185</v>
      </c>
      <c r="R28" s="63">
        <v>25.113864052304852</v>
      </c>
      <c r="S28" s="63">
        <v>25.610309823080211</v>
      </c>
      <c r="T28" s="63">
        <v>26.019485160205953</v>
      </c>
      <c r="U28" s="63">
        <v>26.490060707467812</v>
      </c>
      <c r="V28" s="63">
        <v>27.078624717953964</v>
      </c>
      <c r="W28" s="63">
        <v>27.276176246164123</v>
      </c>
      <c r="X28" s="63">
        <v>27.284241318794109</v>
      </c>
      <c r="Y28" s="63">
        <v>27.039390830525726</v>
      </c>
      <c r="Z28" s="63">
        <v>29.311750831999998</v>
      </c>
      <c r="AA28" s="63">
        <v>29.409456668106664</v>
      </c>
      <c r="AB28" s="63">
        <v>29.507488190333682</v>
      </c>
      <c r="AC28" s="63">
        <v>29.605846484301477</v>
      </c>
      <c r="AD28" s="63">
        <v>29.704532639249134</v>
      </c>
      <c r="AE28" s="63">
        <v>29.803547748046636</v>
      </c>
      <c r="AF28" s="63">
        <v>29.902892907206784</v>
      </c>
      <c r="AG28" s="63">
        <v>30.002569216897474</v>
      </c>
      <c r="AH28" s="63">
        <v>30.102577780953798</v>
      </c>
      <c r="AI28" s="63">
        <v>30.202919706890317</v>
      </c>
      <c r="AJ28" s="63">
        <v>30.303596105913282</v>
      </c>
      <c r="AK28" s="63">
        <v>30.404608092932996</v>
      </c>
      <c r="AL28" s="17">
        <f t="shared" si="0"/>
        <v>238.0298546376074</v>
      </c>
      <c r="AM28" s="17">
        <f t="shared" si="1"/>
        <v>309.66696235537552</v>
      </c>
      <c r="AN28" s="17">
        <f t="shared" si="2"/>
        <v>358.26178637283232</v>
      </c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7" t="s">
        <v>113</v>
      </c>
      <c r="B29" s="47">
        <v>9.1199999999999992</v>
      </c>
      <c r="C29" s="47">
        <v>9.24</v>
      </c>
      <c r="D29" s="47">
        <v>9.36</v>
      </c>
      <c r="E29" s="47">
        <v>9.36</v>
      </c>
      <c r="F29" s="47">
        <v>9.48</v>
      </c>
      <c r="G29" s="47">
        <v>9.6</v>
      </c>
      <c r="H29" s="47">
        <v>9.7199999999999989</v>
      </c>
      <c r="I29" s="47">
        <v>9.84</v>
      </c>
      <c r="J29" s="47">
        <v>9.9599999999999991</v>
      </c>
      <c r="K29" s="47">
        <v>9.9599999999999991</v>
      </c>
      <c r="L29" s="47">
        <v>10.08</v>
      </c>
      <c r="M29" s="47">
        <v>10.199999999999999</v>
      </c>
      <c r="N29" s="47">
        <v>10.939200000000001</v>
      </c>
      <c r="O29" s="47">
        <v>11.0664</v>
      </c>
      <c r="P29" s="47">
        <v>11.1936</v>
      </c>
      <c r="Q29" s="47">
        <v>11.1936</v>
      </c>
      <c r="R29" s="47">
        <v>11.3208</v>
      </c>
      <c r="S29" s="47">
        <v>11.448</v>
      </c>
      <c r="T29" s="47">
        <v>11.575200000000001</v>
      </c>
      <c r="U29" s="47">
        <v>11.702400000000001</v>
      </c>
      <c r="V29" s="47">
        <v>11.829600000000001</v>
      </c>
      <c r="W29" s="47">
        <v>11.829600000000001</v>
      </c>
      <c r="X29" s="47">
        <v>11.956800000000001</v>
      </c>
      <c r="Y29" s="47">
        <v>12.084000000000001</v>
      </c>
      <c r="Z29" s="47">
        <v>13.112818333333333</v>
      </c>
      <c r="AA29" s="47">
        <v>13.15652772777778</v>
      </c>
      <c r="AB29" s="47">
        <v>13.200382820203705</v>
      </c>
      <c r="AC29" s="47">
        <v>13.244384096271052</v>
      </c>
      <c r="AD29" s="47">
        <v>13.28853204325862</v>
      </c>
      <c r="AE29" s="47">
        <v>13.332827150069484</v>
      </c>
      <c r="AF29" s="47">
        <v>13.377269907236382</v>
      </c>
      <c r="AG29" s="47">
        <v>13.421860806927166</v>
      </c>
      <c r="AH29" s="47">
        <v>13.466600342950256</v>
      </c>
      <c r="AI29" s="47">
        <v>13.511489010760091</v>
      </c>
      <c r="AJ29" s="47">
        <v>13.556527307462625</v>
      </c>
      <c r="AK29" s="47">
        <v>13.601715731820834</v>
      </c>
      <c r="AL29" s="17">
        <f t="shared" si="0"/>
        <v>106.79999999999998</v>
      </c>
      <c r="AM29" s="17">
        <f t="shared" si="1"/>
        <v>138.13919999999999</v>
      </c>
      <c r="AN29" s="17">
        <f t="shared" si="2"/>
        <v>160.27093527807133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7" t="s">
        <v>114</v>
      </c>
      <c r="B30" s="47">
        <v>1.4620642349541837</v>
      </c>
      <c r="C30" s="47">
        <v>1.4635351238037</v>
      </c>
      <c r="D30" s="47">
        <v>1.4893391910119533</v>
      </c>
      <c r="E30" s="47">
        <v>1.4641477827370992</v>
      </c>
      <c r="F30" s="47">
        <v>1.5367525993701752</v>
      </c>
      <c r="G30" s="47">
        <v>1.5643673856561475</v>
      </c>
      <c r="H30" s="47">
        <v>1.5850468576681851</v>
      </c>
      <c r="I30" s="47">
        <v>1.6103559306886244</v>
      </c>
      <c r="J30" s="47">
        <v>1.6818145361164791</v>
      </c>
      <c r="K30" s="47">
        <v>1.6907823169816729</v>
      </c>
      <c r="L30" s="47">
        <v>1.6518536414024858</v>
      </c>
      <c r="M30" s="47">
        <v>1.6381840231088189</v>
      </c>
      <c r="N30" s="47">
        <v>1.7559104559340444</v>
      </c>
      <c r="O30" s="47">
        <v>1.7954488791684975</v>
      </c>
      <c r="P30" s="47">
        <v>1.8161511221681579</v>
      </c>
      <c r="Q30" s="47">
        <v>1.7685906361474468</v>
      </c>
      <c r="R30" s="47">
        <v>1.8333120758182544</v>
      </c>
      <c r="S30" s="47">
        <v>1.8695526170848555</v>
      </c>
      <c r="T30" s="47">
        <v>1.8994224166950349</v>
      </c>
      <c r="U30" s="47">
        <v>1.9337744316451506</v>
      </c>
      <c r="V30" s="47">
        <v>1.9767396044106396</v>
      </c>
      <c r="W30" s="47">
        <v>1.9911608659699813</v>
      </c>
      <c r="X30" s="47">
        <v>1.9917496162719701</v>
      </c>
      <c r="Y30" s="47">
        <v>1.9738755306283782</v>
      </c>
      <c r="Z30" s="47">
        <v>2.1983813123999996</v>
      </c>
      <c r="AA30" s="47">
        <v>2.2057092501079998</v>
      </c>
      <c r="AB30" s="47">
        <v>2.2130616142750261</v>
      </c>
      <c r="AC30" s="47">
        <v>2.2204384863226108</v>
      </c>
      <c r="AD30" s="47">
        <v>2.2278399479436848</v>
      </c>
      <c r="AE30" s="47">
        <v>2.2352660811034974</v>
      </c>
      <c r="AF30" s="47">
        <v>2.2427169680405088</v>
      </c>
      <c r="AG30" s="47">
        <v>2.2501926912673103</v>
      </c>
      <c r="AH30" s="47">
        <v>2.2576933335715346</v>
      </c>
      <c r="AI30" s="47">
        <v>2.2652189780167737</v>
      </c>
      <c r="AJ30" s="47">
        <v>2.2727697079434961</v>
      </c>
      <c r="AK30" s="47">
        <v>2.2803456069699748</v>
      </c>
      <c r="AL30" s="17">
        <f t="shared" si="0"/>
        <v>17.376179388545342</v>
      </c>
      <c r="AM30" s="17">
        <f t="shared" si="1"/>
        <v>22.605688251942411</v>
      </c>
      <c r="AN30" s="17">
        <f t="shared" si="2"/>
        <v>26.869633977962415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7" t="s">
        <v>115</v>
      </c>
      <c r="B31" s="50">
        <f t="shared" ref="B31" si="17">B28-B29-B30</f>
        <v>9.4462129561990142</v>
      </c>
      <c r="C31" s="50">
        <f t="shared" ref="C31:Y31" si="18">C28-C29-C30</f>
        <v>9.3448912296716387</v>
      </c>
      <c r="D31" s="50">
        <f t="shared" si="18"/>
        <v>9.5525675351791861</v>
      </c>
      <c r="E31" s="50">
        <f t="shared" si="18"/>
        <v>9.2326711588669976</v>
      </c>
      <c r="F31" s="50">
        <f t="shared" si="18"/>
        <v>10.034652871454139</v>
      </c>
      <c r="G31" s="50">
        <f t="shared" si="18"/>
        <v>10.265322828811625</v>
      </c>
      <c r="H31" s="50">
        <f t="shared" si="18"/>
        <v>10.407923795320649</v>
      </c>
      <c r="I31" s="50">
        <f t="shared" si="18"/>
        <v>10.609314352717186</v>
      </c>
      <c r="J31" s="50">
        <f t="shared" si="18"/>
        <v>11.396740753150358</v>
      </c>
      <c r="K31" s="50">
        <f t="shared" si="18"/>
        <v>11.510619285506994</v>
      </c>
      <c r="L31" s="50">
        <f t="shared" si="18"/>
        <v>10.896278432604165</v>
      </c>
      <c r="M31" s="50">
        <f t="shared" si="18"/>
        <v>10.602693005779111</v>
      </c>
      <c r="N31" s="50">
        <f t="shared" si="18"/>
        <v>11.35845743357341</v>
      </c>
      <c r="O31" s="50">
        <f t="shared" si="18"/>
        <v>11.733341246427354</v>
      </c>
      <c r="P31" s="50">
        <f t="shared" si="18"/>
        <v>11.869031373286056</v>
      </c>
      <c r="Q31" s="50">
        <f t="shared" si="18"/>
        <v>11.265078352173738</v>
      </c>
      <c r="R31" s="50">
        <f t="shared" si="18"/>
        <v>11.959751976486597</v>
      </c>
      <c r="S31" s="50">
        <f t="shared" si="18"/>
        <v>12.292757205995356</v>
      </c>
      <c r="T31" s="50">
        <f t="shared" si="18"/>
        <v>12.544862743510917</v>
      </c>
      <c r="U31" s="50">
        <f t="shared" si="18"/>
        <v>12.85388627582266</v>
      </c>
      <c r="V31" s="50">
        <f t="shared" si="18"/>
        <v>13.272285113543324</v>
      </c>
      <c r="W31" s="50">
        <f t="shared" si="18"/>
        <v>13.455415380194141</v>
      </c>
      <c r="X31" s="50">
        <f t="shared" si="18"/>
        <v>13.335691702522137</v>
      </c>
      <c r="Y31" s="50">
        <f t="shared" si="18"/>
        <v>12.981515299897346</v>
      </c>
      <c r="Z31" s="50">
        <f t="shared" ref="Z31:AK31" si="19">Z28-Z29-Z30</f>
        <v>14.000551186266666</v>
      </c>
      <c r="AA31" s="50">
        <f t="shared" si="19"/>
        <v>14.047219690220885</v>
      </c>
      <c r="AB31" s="50">
        <f t="shared" si="19"/>
        <v>14.094043755854948</v>
      </c>
      <c r="AC31" s="50">
        <f t="shared" si="19"/>
        <v>14.141023901707815</v>
      </c>
      <c r="AD31" s="50">
        <f t="shared" si="19"/>
        <v>14.188160648046829</v>
      </c>
      <c r="AE31" s="50">
        <f t="shared" si="19"/>
        <v>14.235454516873656</v>
      </c>
      <c r="AF31" s="50">
        <f t="shared" si="19"/>
        <v>14.282906031929894</v>
      </c>
      <c r="AG31" s="50">
        <f t="shared" si="19"/>
        <v>14.330515718702996</v>
      </c>
      <c r="AH31" s="50">
        <f t="shared" si="19"/>
        <v>14.378284104432009</v>
      </c>
      <c r="AI31" s="50">
        <f t="shared" si="19"/>
        <v>14.426211718113452</v>
      </c>
      <c r="AJ31" s="50">
        <f t="shared" si="19"/>
        <v>14.474299090507159</v>
      </c>
      <c r="AK31" s="50">
        <f t="shared" si="19"/>
        <v>14.522546754142189</v>
      </c>
      <c r="AL31" s="17">
        <f t="shared" si="0"/>
        <v>113.85367524906205</v>
      </c>
      <c r="AM31" s="17">
        <f t="shared" si="1"/>
        <v>148.92207410343303</v>
      </c>
      <c r="AN31" s="17">
        <f t="shared" si="2"/>
        <v>171.1212171167985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7" t="s">
        <v>34</v>
      </c>
      <c r="B32" s="64">
        <f t="shared" ref="B32" si="20">IFERROR(B31/B28,0)</f>
        <v>0.4716438097017927</v>
      </c>
      <c r="C32" s="64">
        <f t="shared" ref="C32:Y32" si="21">IFERROR(C31/C28,0)</f>
        <v>0.46611594670380341</v>
      </c>
      <c r="D32" s="64">
        <f t="shared" si="21"/>
        <v>0.46821935142542281</v>
      </c>
      <c r="E32" s="64">
        <f t="shared" si="21"/>
        <v>0.46032579671522883</v>
      </c>
      <c r="F32" s="64">
        <f t="shared" si="21"/>
        <v>0.47667377293936136</v>
      </c>
      <c r="G32" s="64">
        <f t="shared" si="21"/>
        <v>0.47902338886267348</v>
      </c>
      <c r="H32" s="64">
        <f t="shared" si="21"/>
        <v>0.4793413099320879</v>
      </c>
      <c r="I32" s="64">
        <f t="shared" si="21"/>
        <v>0.48093712265037558</v>
      </c>
      <c r="J32" s="64">
        <f t="shared" si="21"/>
        <v>0.49468122501847384</v>
      </c>
      <c r="K32" s="64">
        <f t="shared" si="21"/>
        <v>0.49697421093333966</v>
      </c>
      <c r="L32" s="64">
        <f t="shared" si="21"/>
        <v>0.4815368054670725</v>
      </c>
      <c r="M32" s="64">
        <f t="shared" si="21"/>
        <v>0.47247230988924205</v>
      </c>
      <c r="N32" s="64">
        <f t="shared" si="21"/>
        <v>0.47221507785246891</v>
      </c>
      <c r="O32" s="64">
        <f t="shared" si="21"/>
        <v>0.47705836736820501</v>
      </c>
      <c r="P32" s="64">
        <f t="shared" si="21"/>
        <v>0.47707444588394687</v>
      </c>
      <c r="Q32" s="64">
        <f t="shared" si="21"/>
        <v>0.46497516321811166</v>
      </c>
      <c r="R32" s="64">
        <f t="shared" si="21"/>
        <v>0.47622110048767974</v>
      </c>
      <c r="S32" s="64">
        <f t="shared" si="21"/>
        <v>0.4799925221879599</v>
      </c>
      <c r="T32" s="64">
        <f t="shared" si="21"/>
        <v>0.48213339604032429</v>
      </c>
      <c r="U32" s="64">
        <f t="shared" si="21"/>
        <v>0.48523430798325884</v>
      </c>
      <c r="V32" s="64">
        <f t="shared" si="21"/>
        <v>0.49013881804504605</v>
      </c>
      <c r="W32" s="64">
        <f t="shared" si="21"/>
        <v>0.49330284636529248</v>
      </c>
      <c r="X32" s="64">
        <f t="shared" si="21"/>
        <v>0.48876901309827364</v>
      </c>
      <c r="Y32" s="64">
        <f t="shared" si="21"/>
        <v>0.48009644082817332</v>
      </c>
      <c r="Z32" s="64">
        <f t="shared" ref="Z32:AK32" si="22">IFERROR(Z31/Z28,0)</f>
        <v>0.47764295167868626</v>
      </c>
      <c r="AA32" s="64">
        <f t="shared" si="22"/>
        <v>0.47764295167868615</v>
      </c>
      <c r="AB32" s="64">
        <f t="shared" si="22"/>
        <v>0.47764295167868598</v>
      </c>
      <c r="AC32" s="64">
        <f t="shared" si="22"/>
        <v>0.47764295167868631</v>
      </c>
      <c r="AD32" s="64">
        <f t="shared" si="22"/>
        <v>0.47764295167868609</v>
      </c>
      <c r="AE32" s="64">
        <f t="shared" si="22"/>
        <v>0.4776429516786862</v>
      </c>
      <c r="AF32" s="64">
        <f t="shared" si="22"/>
        <v>0.47764295167868603</v>
      </c>
      <c r="AG32" s="64">
        <f t="shared" si="22"/>
        <v>0.47764295167868615</v>
      </c>
      <c r="AH32" s="64">
        <f t="shared" si="22"/>
        <v>0.47764295167868626</v>
      </c>
      <c r="AI32" s="64">
        <f t="shared" si="22"/>
        <v>0.47764295167868626</v>
      </c>
      <c r="AJ32" s="64">
        <f t="shared" si="22"/>
        <v>0.47764295167868615</v>
      </c>
      <c r="AK32" s="64">
        <f t="shared" si="22"/>
        <v>0.47764295167868626</v>
      </c>
      <c r="AL32" s="17">
        <f t="shared" si="0"/>
        <v>5.2563012405370815</v>
      </c>
      <c r="AM32" s="17">
        <f t="shared" si="1"/>
        <v>5.7672114993587407</v>
      </c>
      <c r="AN32" s="17">
        <f t="shared" si="2"/>
        <v>5.7317154201442344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7" t="s">
        <v>116</v>
      </c>
      <c r="B33" s="47">
        <v>0.83599999999999997</v>
      </c>
      <c r="C33" s="47">
        <v>0.84699999999999998</v>
      </c>
      <c r="D33" s="47">
        <v>0.85799999999999998</v>
      </c>
      <c r="E33" s="47">
        <v>0.85799999999999998</v>
      </c>
      <c r="F33" s="47">
        <v>0.86899999999999999</v>
      </c>
      <c r="G33" s="47">
        <v>0.87999999999999989</v>
      </c>
      <c r="H33" s="47">
        <v>0.8909999999999999</v>
      </c>
      <c r="I33" s="47">
        <v>0.90199999999999991</v>
      </c>
      <c r="J33" s="47">
        <v>0.91299999999999992</v>
      </c>
      <c r="K33" s="47">
        <v>0.91299999999999992</v>
      </c>
      <c r="L33" s="47">
        <v>0.92399999999999993</v>
      </c>
      <c r="M33" s="47">
        <v>0.93499999999999994</v>
      </c>
      <c r="N33" s="47">
        <v>0.99329999999999996</v>
      </c>
      <c r="O33" s="47">
        <v>1.00485</v>
      </c>
      <c r="P33" s="47">
        <v>1.0164</v>
      </c>
      <c r="Q33" s="47">
        <v>1.0164</v>
      </c>
      <c r="R33" s="47">
        <v>1.0279499999999999</v>
      </c>
      <c r="S33" s="47">
        <v>1.0395000000000001</v>
      </c>
      <c r="T33" s="47">
        <v>1.05105</v>
      </c>
      <c r="U33" s="47">
        <v>1.0626</v>
      </c>
      <c r="V33" s="47">
        <v>1.0741499999999999</v>
      </c>
      <c r="W33" s="47">
        <v>1.0741499999999999</v>
      </c>
      <c r="X33" s="47">
        <v>1.0857000000000001</v>
      </c>
      <c r="Y33" s="47">
        <v>1.0972500000000001</v>
      </c>
      <c r="Z33" s="47">
        <v>1.198995</v>
      </c>
      <c r="AA33" s="47">
        <v>1.2029916500000002</v>
      </c>
      <c r="AB33" s="47">
        <v>1.2070016221666668</v>
      </c>
      <c r="AC33" s="47">
        <v>1.2110249609072226</v>
      </c>
      <c r="AD33" s="47">
        <v>1.2150617107769131</v>
      </c>
      <c r="AE33" s="47">
        <v>1.219111916479503</v>
      </c>
      <c r="AF33" s="47">
        <v>1.2231756228677679</v>
      </c>
      <c r="AG33" s="47">
        <v>1.2272528749439935</v>
      </c>
      <c r="AH33" s="47">
        <v>1.2313437178604736</v>
      </c>
      <c r="AI33" s="47">
        <v>1.2354481969200084</v>
      </c>
      <c r="AJ33" s="47">
        <v>1.2395663575764084</v>
      </c>
      <c r="AK33" s="47">
        <v>1.2436982454349965</v>
      </c>
      <c r="AL33" s="17">
        <f t="shared" si="0"/>
        <v>9.7900000000000009</v>
      </c>
      <c r="AM33" s="17">
        <f t="shared" si="1"/>
        <v>12.5433</v>
      </c>
      <c r="AN33" s="17">
        <f t="shared" si="2"/>
        <v>14.654671875933955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7" t="s">
        <v>117</v>
      </c>
      <c r="B34" s="47">
        <f>SUMIFS(Actuals!$M$4:$M$123,Actuals!$D$4:$D$123,"Cybersecurity",Actuals!$A$4:$A$123,B$3)</f>
        <v>0.41799999999999998</v>
      </c>
      <c r="C34" s="47">
        <v>0.42349999999999999</v>
      </c>
      <c r="D34" s="47">
        <v>0.42899999999999999</v>
      </c>
      <c r="E34" s="47">
        <v>0.42899999999999999</v>
      </c>
      <c r="F34" s="47">
        <v>0.4345</v>
      </c>
      <c r="G34" s="47">
        <v>0.43999999999999995</v>
      </c>
      <c r="H34" s="47">
        <v>0.44549999999999995</v>
      </c>
      <c r="I34" s="47">
        <v>0.45099999999999996</v>
      </c>
      <c r="J34" s="47">
        <v>0.45649999999999996</v>
      </c>
      <c r="K34" s="47">
        <v>0.45649999999999996</v>
      </c>
      <c r="L34" s="47">
        <v>0.46199999999999997</v>
      </c>
      <c r="M34" s="47">
        <v>0.46749999999999997</v>
      </c>
      <c r="N34" s="47">
        <v>0.47299999999999998</v>
      </c>
      <c r="O34" s="47">
        <v>0.47849999999999998</v>
      </c>
      <c r="P34" s="47">
        <v>0.48399999999999999</v>
      </c>
      <c r="Q34" s="47">
        <v>0.48399999999999999</v>
      </c>
      <c r="R34" s="47">
        <v>0.48949999999999999</v>
      </c>
      <c r="S34" s="47">
        <v>0.495</v>
      </c>
      <c r="T34" s="47">
        <v>0.50049999999999994</v>
      </c>
      <c r="U34" s="47">
        <v>0.50600000000000001</v>
      </c>
      <c r="V34" s="47">
        <v>0.51149999999999995</v>
      </c>
      <c r="W34" s="47">
        <v>0.51149999999999995</v>
      </c>
      <c r="X34" s="47">
        <v>0.51700000000000002</v>
      </c>
      <c r="Y34" s="47">
        <v>0.52249999999999996</v>
      </c>
      <c r="Z34" s="47">
        <v>0.59949750000000002</v>
      </c>
      <c r="AA34" s="47">
        <v>0.60149582500000009</v>
      </c>
      <c r="AB34" s="47">
        <v>0.60350081108333342</v>
      </c>
      <c r="AC34" s="47">
        <v>0.60551248045361128</v>
      </c>
      <c r="AD34" s="47">
        <v>0.60753085538845653</v>
      </c>
      <c r="AE34" s="47">
        <v>0.60955595823975151</v>
      </c>
      <c r="AF34" s="47">
        <v>0.61158781143388397</v>
      </c>
      <c r="AG34" s="47">
        <v>0.61362643747199674</v>
      </c>
      <c r="AH34" s="47">
        <v>0.61567185893023679</v>
      </c>
      <c r="AI34" s="47">
        <v>0.6177240984600042</v>
      </c>
      <c r="AJ34" s="47">
        <v>0.61978317878820421</v>
      </c>
      <c r="AK34" s="47">
        <v>0.62184912271749826</v>
      </c>
      <c r="AL34" s="17">
        <f t="shared" si="0"/>
        <v>4.8950000000000005</v>
      </c>
      <c r="AM34" s="17">
        <f t="shared" si="1"/>
        <v>5.9729999999999999</v>
      </c>
      <c r="AN34" s="17">
        <f t="shared" si="2"/>
        <v>7.3273359379669776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7" t="s">
        <v>123</v>
      </c>
      <c r="B35" s="47">
        <f>SUMIFS(Actuals!$N$4:$N$123,Actuals!$D$4:$D$123,"Cybersecurity",Actuals!$A$4:$A$123,B$3)+SUMIFS(Actuals!$O$4:$O$123,Actuals!$D$4:$D$123,"Cybersecurity",Actuals!$A$4:$A$123,B$3)+SUMIFS(Actuals!$P$4:$P$123,Actuals!$D$4:$D$123,"Cybersecurity",Actuals!$A$4:$A$123,B$3)</f>
        <v>0.7210179788815152</v>
      </c>
      <c r="C35" s="47">
        <f>SUMIFS(Actuals!$N$4:$N$123,Actuals!$D$4:$D$123,"Cybersecurity",Actuals!$A$4:$A$123,C$3)+SUMIFS(Actuals!$O$4:$O$123,Actuals!$D$4:$D$123,"Cybersecurity",Actuals!$A$4:$A$123,C$3)+SUMIFS(Actuals!$P$4:$P$123,Actuals!$D$4:$D$123,"Cybersecurity",Actuals!$A$4:$A$123,C$3)</f>
        <v>0.78188862778553825</v>
      </c>
      <c r="D35" s="47">
        <f>SUMIFS(Actuals!$N$4:$N$123,Actuals!$D$4:$D$123,"Cybersecurity",Actuals!$A$4:$A$123,D$3)+SUMIFS(Actuals!$O$4:$O$123,Actuals!$D$4:$D$123,"Cybersecurity",Actuals!$A$4:$A$123,D$3)+SUMIFS(Actuals!$P$4:$P$123,Actuals!$D$4:$D$123,"Cybersecurity",Actuals!$A$4:$A$123,D$3)</f>
        <v>0.79567436232145439</v>
      </c>
      <c r="E35" s="47">
        <f>SUMIFS(Actuals!$N$4:$N$123,Actuals!$D$4:$D$123,"Cybersecurity",Actuals!$A$4:$A$123,E$3)+SUMIFS(Actuals!$O$4:$O$123,Actuals!$D$4:$D$123,"Cybersecurity",Actuals!$A$4:$A$123,E$3)+SUMIFS(Actuals!$P$4:$P$123,Actuals!$D$4:$D$123,"Cybersecurity",Actuals!$A$4:$A$123,E$3)</f>
        <v>0.72204548189774753</v>
      </c>
      <c r="F35" s="47">
        <f>SUMIFS(Actuals!$N$4:$N$123,Actuals!$D$4:$D$123,"Cybersecurity",Actuals!$A$4:$A$123,F$3)+SUMIFS(Actuals!$O$4:$O$123,Actuals!$D$4:$D$123,"Cybersecurity",Actuals!$A$4:$A$123,F$3)+SUMIFS(Actuals!$P$4:$P$123,Actuals!$D$4:$D$123,"Cybersecurity",Actuals!$A$4:$A$123,F$3)</f>
        <v>0.75785059694967538</v>
      </c>
      <c r="G35" s="47">
        <f>SUMIFS(Actuals!$N$4:$N$123,Actuals!$D$4:$D$123,"Cybersecurity",Actuals!$A$4:$A$123,G$3)+SUMIFS(Actuals!$O$4:$O$123,Actuals!$D$4:$D$123,"Cybersecurity",Actuals!$A$4:$A$123,G$3)+SUMIFS(Actuals!$P$4:$P$123,Actuals!$D$4:$D$123,"Cybersecurity",Actuals!$A$4:$A$123,G$3)</f>
        <v>0.77146884772083979</v>
      </c>
      <c r="H35" s="47">
        <f>SUMIFS(Actuals!$N$4:$N$123,Actuals!$D$4:$D$123,"Cybersecurity",Actuals!$A$4:$A$123,H$3)+SUMIFS(Actuals!$O$4:$O$123,Actuals!$D$4:$D$123,"Cybersecurity",Actuals!$A$4:$A$123,H$3)+SUMIFS(Actuals!$P$4:$P$123,Actuals!$D$4:$D$123,"Cybersecurity",Actuals!$A$4:$A$123,H$3)</f>
        <v>0.78166694350759802</v>
      </c>
      <c r="I35" s="47">
        <f>SUMIFS(Actuals!$N$4:$N$123,Actuals!$D$4:$D$123,"Cybersecurity",Actuals!$A$4:$A$123,I$3)+SUMIFS(Actuals!$O$4:$O$123,Actuals!$D$4:$D$123,"Cybersecurity",Actuals!$A$4:$A$123,I$3)+SUMIFS(Actuals!$P$4:$P$123,Actuals!$D$4:$D$123,"Cybersecurity",Actuals!$A$4:$A$123,I$3)</f>
        <v>0.79414813020260921</v>
      </c>
      <c r="J35" s="47">
        <f>SUMIFS(Actuals!$N$4:$N$123,Actuals!$D$4:$D$123,"Cybersecurity",Actuals!$A$4:$A$123,J$3)+SUMIFS(Actuals!$O$4:$O$123,Actuals!$D$4:$D$123,"Cybersecurity",Actuals!$A$4:$A$123,J$3)+SUMIFS(Actuals!$P$4:$P$123,Actuals!$D$4:$D$123,"Cybersecurity",Actuals!$A$4:$A$123,J$3)</f>
        <v>0.8985036562814066</v>
      </c>
      <c r="K35" s="47">
        <f>SUMIFS(Actuals!$N$4:$N$123,Actuals!$D$4:$D$123,"Cybersecurity",Actuals!$A$4:$A$123,K$3)+SUMIFS(Actuals!$O$4:$O$123,Actuals!$D$4:$D$123,"Cybersecurity",Actuals!$A$4:$A$123,K$3)+SUMIFS(Actuals!$P$4:$P$123,Actuals!$D$4:$D$123,"Cybersecurity",Actuals!$A$4:$A$123,K$3)</f>
        <v>0.90329466249705803</v>
      </c>
      <c r="L35" s="47">
        <f>SUMIFS(Actuals!$N$4:$N$123,Actuals!$D$4:$D$123,"Cybersecurity",Actuals!$A$4:$A$123,L$3)+SUMIFS(Actuals!$O$4:$O$123,Actuals!$D$4:$D$123,"Cybersecurity",Actuals!$A$4:$A$123,L$3)+SUMIFS(Actuals!$P$4:$P$123,Actuals!$D$4:$D$123,"Cybersecurity",Actuals!$A$4:$A$123,L$3)</f>
        <v>0.81461275466423944</v>
      </c>
      <c r="M35" s="47">
        <f>SUMIFS(Actuals!$N$4:$N$123,Actuals!$D$4:$D$123,"Cybersecurity",Actuals!$A$4:$A$123,M$3)+SUMIFS(Actuals!$O$4:$O$123,Actuals!$D$4:$D$123,"Cybersecurity",Actuals!$A$4:$A$123,M$3)+SUMIFS(Actuals!$P$4:$P$123,Actuals!$D$4:$D$123,"Cybersecurity",Actuals!$A$4:$A$123,M$3)</f>
        <v>0.80787157303996548</v>
      </c>
      <c r="N35" s="47">
        <f>SUMIFS(Actuals!$N$4:$N$123,Actuals!$D$4:$D$123,"Cybersecurity",Actuals!$A$4:$A$123,N$3)+SUMIFS(Actuals!$O$4:$O$123,Actuals!$D$4:$D$123,"Cybersecurity",Actuals!$A$4:$A$123,N$3)+SUMIFS(Actuals!$P$4:$P$123,Actuals!$D$4:$D$123,"Cybersecurity",Actuals!$A$4:$A$123,N$3)</f>
        <v>0.86592844402226832</v>
      </c>
      <c r="O35" s="47">
        <f>SUMIFS(Actuals!$N$4:$N$123,Actuals!$D$4:$D$123,"Cybersecurity",Actuals!$A$4:$A$123,O$3)+SUMIFS(Actuals!$O$4:$O$123,Actuals!$D$4:$D$123,"Cybersecurity",Actuals!$A$4:$A$123,O$3)+SUMIFS(Actuals!$P$4:$P$123,Actuals!$D$4:$D$123,"Cybersecurity",Actuals!$A$4:$A$123,O$3)</f>
        <v>0.95921241489823816</v>
      </c>
      <c r="P35" s="47">
        <f>SUMIFS(Actuals!$N$4:$N$123,Actuals!$D$4:$D$123,"Cybersecurity",Actuals!$A$4:$A$123,P$3)+SUMIFS(Actuals!$O$4:$O$123,Actuals!$D$4:$D$123,"Cybersecurity",Actuals!$A$4:$A$123,P$3)+SUMIFS(Actuals!$P$4:$P$123,Actuals!$D$4:$D$123,"Cybersecurity",Actuals!$A$4:$A$123,P$3)</f>
        <v>0.97027251732271436</v>
      </c>
      <c r="Q35" s="47">
        <f>SUMIFS(Actuals!$N$4:$N$123,Actuals!$D$4:$D$123,"Cybersecurity",Actuals!$A$4:$A$123,Q$3)+SUMIFS(Actuals!$O$4:$O$123,Actuals!$D$4:$D$123,"Cybersecurity",Actuals!$A$4:$A$123,Q$3)+SUMIFS(Actuals!$P$4:$P$123,Actuals!$D$4:$D$123,"Cybersecurity",Actuals!$A$4:$A$123,Q$3)</f>
        <v>0.87218168357956261</v>
      </c>
      <c r="R35" s="47">
        <f>SUMIFS(Actuals!$N$4:$N$123,Actuals!$D$4:$D$123,"Cybersecurity",Actuals!$A$4:$A$123,R$3)+SUMIFS(Actuals!$O$4:$O$123,Actuals!$D$4:$D$123,"Cybersecurity",Actuals!$A$4:$A$123,R$3)+SUMIFS(Actuals!$P$4:$P$123,Actuals!$D$4:$D$123,"Cybersecurity",Actuals!$A$4:$A$123,R$3)</f>
        <v>0.9040991058829746</v>
      </c>
      <c r="S35" s="47">
        <f>SUMIFS(Actuals!$N$4:$N$123,Actuals!$D$4:$D$123,"Cybersecurity",Actuals!$A$4:$A$123,S$3)+SUMIFS(Actuals!$O$4:$O$123,Actuals!$D$4:$D$123,"Cybersecurity",Actuals!$A$4:$A$123,S$3)+SUMIFS(Actuals!$P$4:$P$123,Actuals!$D$4:$D$123,"Cybersecurity",Actuals!$A$4:$A$123,S$3)</f>
        <v>0.92197115363088766</v>
      </c>
      <c r="T35" s="47">
        <f>SUMIFS(Actuals!$N$4:$N$123,Actuals!$D$4:$D$123,"Cybersecurity",Actuals!$A$4:$A$123,T$3)+SUMIFS(Actuals!$O$4:$O$123,Actuals!$D$4:$D$123,"Cybersecurity",Actuals!$A$4:$A$123,T$3)+SUMIFS(Actuals!$P$4:$P$123,Actuals!$D$4:$D$123,"Cybersecurity",Actuals!$A$4:$A$123,T$3)</f>
        <v>0.93670146576741442</v>
      </c>
      <c r="U35" s="47">
        <f>SUMIFS(Actuals!$N$4:$N$123,Actuals!$D$4:$D$123,"Cybersecurity",Actuals!$A$4:$A$123,U$3)+SUMIFS(Actuals!$O$4:$O$123,Actuals!$D$4:$D$123,"Cybersecurity",Actuals!$A$4:$A$123,U$3)+SUMIFS(Actuals!$P$4:$P$123,Actuals!$D$4:$D$123,"Cybersecurity",Actuals!$A$4:$A$123,U$3)</f>
        <v>0.95364218546884127</v>
      </c>
      <c r="V35" s="47">
        <f>SUMIFS(Actuals!$N$4:$N$123,Actuals!$D$4:$D$123,"Cybersecurity",Actuals!$A$4:$A$123,V$3)+SUMIFS(Actuals!$O$4:$O$123,Actuals!$D$4:$D$123,"Cybersecurity",Actuals!$A$4:$A$123,V$3)+SUMIFS(Actuals!$P$4:$P$123,Actuals!$D$4:$D$123,"Cybersecurity",Actuals!$A$4:$A$123,V$3)</f>
        <v>1.0560663640002046</v>
      </c>
      <c r="W35" s="47">
        <f>SUMIFS(Actuals!$N$4:$N$123,Actuals!$D$4:$D$123,"Cybersecurity",Actuals!$A$4:$A$123,W$3)+SUMIFS(Actuals!$O$4:$O$123,Actuals!$D$4:$D$123,"Cybersecurity",Actuals!$A$4:$A$123,W$3)+SUMIFS(Actuals!$P$4:$P$123,Actuals!$D$4:$D$123,"Cybersecurity",Actuals!$A$4:$A$123,W$3)</f>
        <v>1.0637708736004008</v>
      </c>
      <c r="X35" s="47">
        <f>SUMIFS(Actuals!$N$4:$N$123,Actuals!$D$4:$D$123,"Cybersecurity",Actuals!$A$4:$A$123,X$3)+SUMIFS(Actuals!$O$4:$O$123,Actuals!$D$4:$D$123,"Cybersecurity",Actuals!$A$4:$A$123,X$3)+SUMIFS(Actuals!$P$4:$P$123,Actuals!$D$4:$D$123,"Cybersecurity",Actuals!$A$4:$A$123,X$3)</f>
        <v>0.98223268747658798</v>
      </c>
      <c r="Y35" s="47">
        <f>SUMIFS(Actuals!$N$4:$N$123,Actuals!$D$4:$D$123,"Cybersecurity",Actuals!$A$4:$A$123,Y$3)+SUMIFS(Actuals!$O$4:$O$123,Actuals!$D$4:$D$123,"Cybersecurity",Actuals!$A$4:$A$123,Y$3)+SUMIFS(Actuals!$P$4:$P$123,Actuals!$D$4:$D$123,"Cybersecurity",Actuals!$A$4:$A$123,Y$3)</f>
        <v>0.9734180698989261</v>
      </c>
      <c r="Z35" s="47">
        <f>Z28*Assumptions!$B$25*(1+Assumptions!$B$9)</f>
        <v>1.3849802268119997</v>
      </c>
      <c r="AA35" s="47">
        <f>AA28*Assumptions!$B$25*(1+Assumptions!$B$9)</f>
        <v>1.3895968275680399</v>
      </c>
      <c r="AB35" s="47">
        <f>AB28*Assumptions!$B$25*(1+Assumptions!$B$9)</f>
        <v>1.3942288169932664</v>
      </c>
      <c r="AC35" s="47">
        <f>AC28*Assumptions!$B$25*(1+Assumptions!$B$9)</f>
        <v>1.3988762463832449</v>
      </c>
      <c r="AD35" s="47">
        <f>AD28*Assumptions!$B$25*(1+Assumptions!$B$9)</f>
        <v>1.4035391672045217</v>
      </c>
      <c r="AE35" s="47">
        <f>AE28*Assumptions!$B$25*(1+Assumptions!$B$9)</f>
        <v>1.4082176310952035</v>
      </c>
      <c r="AF35" s="47">
        <f>AF28*Assumptions!$B$25*(1+Assumptions!$B$9)</f>
        <v>1.4129116898655205</v>
      </c>
      <c r="AG35" s="47">
        <f>AG28*Assumptions!$B$25*(1+Assumptions!$B$9)</f>
        <v>1.4176213954984056</v>
      </c>
      <c r="AH35" s="47">
        <f>AH28*Assumptions!$B$25*(1+Assumptions!$B$9)</f>
        <v>1.422346800150067</v>
      </c>
      <c r="AI35" s="47">
        <f>AI28*Assumptions!$B$25*(1+Assumptions!$B$9)</f>
        <v>1.4270879561505676</v>
      </c>
      <c r="AJ35" s="47">
        <f>AJ28*Assumptions!$B$25*(1+Assumptions!$B$9)</f>
        <v>1.4318449160044027</v>
      </c>
      <c r="AK35" s="47">
        <f>AK28*Assumptions!$B$25*(1+Assumptions!$B$9)</f>
        <v>1.436617732391084</v>
      </c>
      <c r="AL35" s="17">
        <f t="shared" si="0"/>
        <v>8.829025636868133</v>
      </c>
      <c r="AM35" s="17">
        <f t="shared" si="1"/>
        <v>11.45949696554902</v>
      </c>
      <c r="AN35" s="17">
        <f t="shared" si="2"/>
        <v>16.927869406116322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7" t="s">
        <v>119</v>
      </c>
      <c r="B36" s="50">
        <f t="shared" ref="B36:AK36" si="23">B31-B33-B34-B35</f>
        <v>7.4711949773174995</v>
      </c>
      <c r="C36" s="50">
        <f t="shared" si="23"/>
        <v>7.2925026018860999</v>
      </c>
      <c r="D36" s="50">
        <f t="shared" si="23"/>
        <v>7.4698931728577307</v>
      </c>
      <c r="E36" s="50">
        <f t="shared" si="23"/>
        <v>7.2236256769692488</v>
      </c>
      <c r="F36" s="50">
        <f t="shared" si="23"/>
        <v>7.9733022745044639</v>
      </c>
      <c r="G36" s="50">
        <f t="shared" si="23"/>
        <v>8.1738539810907849</v>
      </c>
      <c r="H36" s="50">
        <f t="shared" si="23"/>
        <v>8.2897568518130509</v>
      </c>
      <c r="I36" s="50">
        <f t="shared" si="23"/>
        <v>8.4621662225145773</v>
      </c>
      <c r="J36" s="50">
        <f t="shared" si="23"/>
        <v>9.1287370968689512</v>
      </c>
      <c r="K36" s="50">
        <f t="shared" si="23"/>
        <v>9.237824623009935</v>
      </c>
      <c r="L36" s="50">
        <f t="shared" si="23"/>
        <v>8.6956656779399264</v>
      </c>
      <c r="M36" s="50">
        <f t="shared" si="23"/>
        <v>8.3923214327391449</v>
      </c>
      <c r="N36" s="50">
        <f t="shared" si="23"/>
        <v>9.0262289895511412</v>
      </c>
      <c r="O36" s="50">
        <f t="shared" si="23"/>
        <v>9.2907788315291171</v>
      </c>
      <c r="P36" s="50">
        <f t="shared" si="23"/>
        <v>9.3983588559633411</v>
      </c>
      <c r="Q36" s="50">
        <f t="shared" si="23"/>
        <v>8.8924966685941751</v>
      </c>
      <c r="R36" s="50">
        <f t="shared" si="23"/>
        <v>9.538202870603623</v>
      </c>
      <c r="S36" s="50">
        <f t="shared" si="23"/>
        <v>9.8362860523644677</v>
      </c>
      <c r="T36" s="50">
        <f t="shared" si="23"/>
        <v>10.056611277743501</v>
      </c>
      <c r="U36" s="50">
        <f t="shared" si="23"/>
        <v>10.331644090353819</v>
      </c>
      <c r="V36" s="50">
        <f t="shared" si="23"/>
        <v>10.630568749543119</v>
      </c>
      <c r="W36" s="50">
        <f t="shared" si="23"/>
        <v>10.805994506593741</v>
      </c>
      <c r="X36" s="50">
        <f t="shared" si="23"/>
        <v>10.750759015045551</v>
      </c>
      <c r="Y36" s="50">
        <f t="shared" si="23"/>
        <v>10.38834722999842</v>
      </c>
      <c r="Z36" s="50">
        <f t="shared" si="23"/>
        <v>10.817078459454667</v>
      </c>
      <c r="AA36" s="50">
        <f t="shared" si="23"/>
        <v>10.853135387652845</v>
      </c>
      <c r="AB36" s="50">
        <f t="shared" si="23"/>
        <v>10.889312505611681</v>
      </c>
      <c r="AC36" s="50">
        <f t="shared" si="23"/>
        <v>10.925610213963736</v>
      </c>
      <c r="AD36" s="50">
        <f t="shared" si="23"/>
        <v>10.962028914676939</v>
      </c>
      <c r="AE36" s="50">
        <f t="shared" si="23"/>
        <v>10.998569011059198</v>
      </c>
      <c r="AF36" s="50">
        <f t="shared" si="23"/>
        <v>11.035230907762722</v>
      </c>
      <c r="AG36" s="50">
        <f t="shared" si="23"/>
        <v>11.072015010788601</v>
      </c>
      <c r="AH36" s="50">
        <f t="shared" si="23"/>
        <v>11.108921727491232</v>
      </c>
      <c r="AI36" s="50">
        <f t="shared" si="23"/>
        <v>11.145951466582872</v>
      </c>
      <c r="AJ36" s="50">
        <f t="shared" si="23"/>
        <v>11.183104638138145</v>
      </c>
      <c r="AK36" s="50">
        <f t="shared" si="23"/>
        <v>11.22038165359861</v>
      </c>
      <c r="AL36" s="17">
        <f t="shared" si="0"/>
        <v>90.339649612193909</v>
      </c>
      <c r="AM36" s="17">
        <f t="shared" si="1"/>
        <v>118.94627713788401</v>
      </c>
      <c r="AN36" s="17">
        <f t="shared" si="2"/>
        <v>132.21133989678125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 t="s">
        <v>36</v>
      </c>
      <c r="B37" s="64">
        <f t="shared" ref="B37:AK37" si="24">IFERROR(B36/B28,0)</f>
        <v>0.37303233353578924</v>
      </c>
      <c r="C37" s="64">
        <f t="shared" si="24"/>
        <v>0.36374438937557635</v>
      </c>
      <c r="D37" s="64">
        <f t="shared" si="24"/>
        <v>0.36613701224641837</v>
      </c>
      <c r="E37" s="64">
        <f t="shared" si="24"/>
        <v>0.36015809376357272</v>
      </c>
      <c r="F37" s="64">
        <f t="shared" si="24"/>
        <v>0.3787539167185236</v>
      </c>
      <c r="G37" s="64">
        <f t="shared" si="24"/>
        <v>0.38142660483129109</v>
      </c>
      <c r="H37" s="64">
        <f t="shared" si="24"/>
        <v>0.38178824004774997</v>
      </c>
      <c r="I37" s="64">
        <f t="shared" si="24"/>
        <v>0.38360347701480224</v>
      </c>
      <c r="J37" s="64">
        <f t="shared" si="24"/>
        <v>0.396237393458514</v>
      </c>
      <c r="K37" s="64">
        <f t="shared" si="24"/>
        <v>0.39884566493667384</v>
      </c>
      <c r="L37" s="64">
        <f t="shared" si="24"/>
        <v>0.38428561621879503</v>
      </c>
      <c r="M37" s="64">
        <f t="shared" si="24"/>
        <v>0.3739747524990128</v>
      </c>
      <c r="N37" s="64">
        <f t="shared" si="24"/>
        <v>0.37525530644825977</v>
      </c>
      <c r="O37" s="64">
        <f t="shared" si="24"/>
        <v>0.3777477947552168</v>
      </c>
      <c r="P37" s="64">
        <f t="shared" si="24"/>
        <v>0.37776602844936585</v>
      </c>
      <c r="Q37" s="64">
        <f t="shared" si="24"/>
        <v>0.36704494728154563</v>
      </c>
      <c r="R37" s="64">
        <f t="shared" si="24"/>
        <v>0.37979829988480984</v>
      </c>
      <c r="S37" s="64">
        <f t="shared" si="24"/>
        <v>0.38407524627054412</v>
      </c>
      <c r="T37" s="64">
        <f t="shared" si="24"/>
        <v>0.38650308473912554</v>
      </c>
      <c r="U37" s="64">
        <f t="shared" si="24"/>
        <v>0.3900196456492539</v>
      </c>
      <c r="V37" s="64">
        <f t="shared" si="24"/>
        <v>0.39258156055815951</v>
      </c>
      <c r="W37" s="64">
        <f t="shared" si="24"/>
        <v>0.39616969802038876</v>
      </c>
      <c r="X37" s="64">
        <f t="shared" si="24"/>
        <v>0.39402814575020428</v>
      </c>
      <c r="Y37" s="64">
        <f t="shared" si="24"/>
        <v>0.38419309425679243</v>
      </c>
      <c r="Z37" s="64">
        <f t="shared" si="24"/>
        <v>0.3690355626128457</v>
      </c>
      <c r="AA37" s="64">
        <f t="shared" si="24"/>
        <v>0.36903556261284554</v>
      </c>
      <c r="AB37" s="64">
        <f t="shared" si="24"/>
        <v>0.36903556261284537</v>
      </c>
      <c r="AC37" s="64">
        <f t="shared" si="24"/>
        <v>0.36903556261284576</v>
      </c>
      <c r="AD37" s="64">
        <f t="shared" si="24"/>
        <v>0.36903556261284559</v>
      </c>
      <c r="AE37" s="64">
        <f t="shared" si="24"/>
        <v>0.36903556261284559</v>
      </c>
      <c r="AF37" s="64">
        <f t="shared" si="24"/>
        <v>0.36903556261284548</v>
      </c>
      <c r="AG37" s="64">
        <f t="shared" si="24"/>
        <v>0.36903556261284559</v>
      </c>
      <c r="AH37" s="64">
        <f t="shared" si="24"/>
        <v>0.36903556261284565</v>
      </c>
      <c r="AI37" s="64">
        <f t="shared" si="24"/>
        <v>0.3690355626128457</v>
      </c>
      <c r="AJ37" s="64">
        <f t="shared" si="24"/>
        <v>0.36903556261284559</v>
      </c>
      <c r="AK37" s="64">
        <f t="shared" si="24"/>
        <v>0.3690355626128457</v>
      </c>
      <c r="AL37" s="17">
        <f t="shared" si="0"/>
        <v>4.1689551611109295</v>
      </c>
      <c r="AM37" s="17">
        <f t="shared" si="1"/>
        <v>4.605182852063666</v>
      </c>
      <c r="AN37" s="17">
        <f t="shared" si="2"/>
        <v>4.4284267513541478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>
        <f t="shared" si="0"/>
        <v>0</v>
      </c>
      <c r="AM38" s="17">
        <f t="shared" si="1"/>
        <v>0</v>
      </c>
      <c r="AN38" s="17">
        <f t="shared" si="2"/>
        <v>0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>
        <f t="shared" si="0"/>
        <v>0</v>
      </c>
      <c r="AM39" s="17">
        <f t="shared" si="1"/>
        <v>0</v>
      </c>
      <c r="AN39" s="17">
        <f t="shared" si="2"/>
        <v>0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62" t="s">
        <v>126</v>
      </c>
      <c r="B40" s="63">
        <f>SUMIFS(Actuals!$I$4:$I$123,Actuals!$D$4:$D$123,"Application Development",Actuals!$A$4:$A$123,B$3)</f>
        <v>27.906963437051417</v>
      </c>
      <c r="C40" s="63">
        <v>28.457659828765937</v>
      </c>
      <c r="D40" s="63">
        <v>29.297679548698532</v>
      </c>
      <c r="E40" s="63">
        <v>28.503482024683954</v>
      </c>
      <c r="F40" s="63">
        <v>29.661528611015985</v>
      </c>
      <c r="G40" s="63">
        <v>30.178575785481126</v>
      </c>
      <c r="H40" s="63">
        <v>30.456856023597073</v>
      </c>
      <c r="I40" s="63">
        <v>30.980637730747311</v>
      </c>
      <c r="J40" s="63">
        <v>32.226762255149737</v>
      </c>
      <c r="K40" s="63">
        <v>32.864023125388329</v>
      </c>
      <c r="L40" s="63">
        <v>32.371789743086865</v>
      </c>
      <c r="M40" s="63">
        <v>31.905438159312563</v>
      </c>
      <c r="N40" s="63">
        <v>33.925394073571049</v>
      </c>
      <c r="O40" s="63">
        <v>34.222239792283368</v>
      </c>
      <c r="P40" s="63">
        <v>34.985118357895551</v>
      </c>
      <c r="Q40" s="63">
        <v>33.754224901636043</v>
      </c>
      <c r="R40" s="63">
        <v>35.854685557540321</v>
      </c>
      <c r="S40" s="63">
        <v>35.73135569939415</v>
      </c>
      <c r="T40" s="63">
        <v>36.974291445223741</v>
      </c>
      <c r="U40" s="63">
        <v>37.191173646220697</v>
      </c>
      <c r="V40" s="63">
        <v>38.213644201167703</v>
      </c>
      <c r="W40" s="63">
        <v>38.532077383340273</v>
      </c>
      <c r="X40" s="63">
        <v>38.396585726941382</v>
      </c>
      <c r="Y40" s="63">
        <v>37.760960314040204</v>
      </c>
      <c r="Z40" s="63">
        <v>38.674782720000003</v>
      </c>
      <c r="AA40" s="63">
        <v>38.803698662400009</v>
      </c>
      <c r="AB40" s="63">
        <v>38.933044324608005</v>
      </c>
      <c r="AC40" s="63">
        <v>39.06282113902337</v>
      </c>
      <c r="AD40" s="63">
        <v>39.193030542820104</v>
      </c>
      <c r="AE40" s="63">
        <v>39.323673977962841</v>
      </c>
      <c r="AF40" s="63">
        <v>39.454752891222718</v>
      </c>
      <c r="AG40" s="63">
        <v>39.586268734193453</v>
      </c>
      <c r="AH40" s="63">
        <v>39.718222963307433</v>
      </c>
      <c r="AI40" s="63">
        <v>39.850617039851798</v>
      </c>
      <c r="AJ40" s="63">
        <v>39.983452429984631</v>
      </c>
      <c r="AK40" s="63">
        <v>40.116730604751254</v>
      </c>
      <c r="AL40" s="17">
        <f t="shared" si="0"/>
        <v>336.90443283592742</v>
      </c>
      <c r="AM40" s="17">
        <f t="shared" si="1"/>
        <v>435.5417510992545</v>
      </c>
      <c r="AN40" s="17">
        <f t="shared" si="2"/>
        <v>472.7010960301256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 t="s">
        <v>113</v>
      </c>
      <c r="B41" s="47">
        <f>SUMIFS(Actuals!$J$4:$J$123,Actuals!$D$4:$D$123,"Application Development",Actuals!$A$4:$A$123,B$3)</f>
        <v>14.88</v>
      </c>
      <c r="C41" s="47">
        <f>SUMIFS(Actuals!$J$4:$J$123,Actuals!$D$4:$D$123,"Application Development",Actuals!$A$4:$A$123,C$3)</f>
        <v>15.072000000000001</v>
      </c>
      <c r="D41" s="47">
        <f>SUMIFS(Actuals!$J$4:$J$123,Actuals!$D$4:$D$123,"Application Development",Actuals!$A$4:$A$123,D$3)</f>
        <v>15.168000000000001</v>
      </c>
      <c r="E41" s="47">
        <f>SUMIFS(Actuals!$J$4:$J$123,Actuals!$D$4:$D$123,"Application Development",Actuals!$A$4:$A$123,E$3)</f>
        <v>15.36</v>
      </c>
      <c r="F41" s="47">
        <f>SUMIFS(Actuals!$J$4:$J$123,Actuals!$D$4:$D$123,"Application Development",Actuals!$A$4:$A$123,F$3)</f>
        <v>15.456</v>
      </c>
      <c r="G41" s="47">
        <f>SUMIFS(Actuals!$J$4:$J$123,Actuals!$D$4:$D$123,"Application Development",Actuals!$A$4:$A$123,G$3)</f>
        <v>15.648</v>
      </c>
      <c r="H41" s="47">
        <f>SUMIFS(Actuals!$J$4:$J$123,Actuals!$D$4:$D$123,"Application Development",Actuals!$A$4:$A$123,H$3)</f>
        <v>15.744</v>
      </c>
      <c r="I41" s="47">
        <f>SUMIFS(Actuals!$J$4:$J$123,Actuals!$D$4:$D$123,"Application Development",Actuals!$A$4:$A$123,I$3)</f>
        <v>15.936</v>
      </c>
      <c r="J41" s="47">
        <f>SUMIFS(Actuals!$J$4:$J$123,Actuals!$D$4:$D$123,"Application Development",Actuals!$A$4:$A$123,J$3)</f>
        <v>16.032</v>
      </c>
      <c r="K41" s="47">
        <f>SUMIFS(Actuals!$J$4:$J$123,Actuals!$D$4:$D$123,"Application Development",Actuals!$A$4:$A$123,K$3)</f>
        <v>16.224</v>
      </c>
      <c r="L41" s="47">
        <f>SUMIFS(Actuals!$J$4:$J$123,Actuals!$D$4:$D$123,"Application Development",Actuals!$A$4:$A$123,L$3)</f>
        <v>16.32</v>
      </c>
      <c r="M41" s="47">
        <f>SUMIFS(Actuals!$J$4:$J$123,Actuals!$D$4:$D$123,"Application Development",Actuals!$A$4:$A$123,M$3)</f>
        <v>16.512</v>
      </c>
      <c r="N41" s="47">
        <f>SUMIFS(Actuals!$J$4:$J$123,Actuals!$D$4:$D$123,"Application Development",Actuals!$A$4:$A$123,N$3)</f>
        <v>17.604479999999999</v>
      </c>
      <c r="O41" s="47">
        <f>SUMIFS(Actuals!$J$4:$J$123,Actuals!$D$4:$D$123,"Application Development",Actuals!$A$4:$A$123,O$3)</f>
        <v>17.808</v>
      </c>
      <c r="P41" s="47">
        <f>SUMIFS(Actuals!$J$4:$J$123,Actuals!$D$4:$D$123,"Application Development",Actuals!$A$4:$A$123,P$3)</f>
        <v>17.909760000000002</v>
      </c>
      <c r="Q41" s="47">
        <f>SUMIFS(Actuals!$J$4:$J$123,Actuals!$D$4:$D$123,"Application Development",Actuals!$A$4:$A$123,Q$3)</f>
        <v>18.11328</v>
      </c>
      <c r="R41" s="47">
        <f>SUMIFS(Actuals!$J$4:$J$123,Actuals!$D$4:$D$123,"Application Development",Actuals!$A$4:$A$123,R$3)</f>
        <v>18.316800000000001</v>
      </c>
      <c r="S41" s="47">
        <f>SUMIFS(Actuals!$J$4:$J$123,Actuals!$D$4:$D$123,"Application Development",Actuals!$A$4:$A$123,S$3)</f>
        <v>18.418559999999999</v>
      </c>
      <c r="T41" s="47">
        <f>SUMIFS(Actuals!$J$4:$J$123,Actuals!$D$4:$D$123,"Application Development",Actuals!$A$4:$A$123,T$3)</f>
        <v>18.62208</v>
      </c>
      <c r="U41" s="47">
        <f>SUMIFS(Actuals!$J$4:$J$123,Actuals!$D$4:$D$123,"Application Development",Actuals!$A$4:$A$123,U$3)</f>
        <v>18.723839999999999</v>
      </c>
      <c r="V41" s="47">
        <f>SUMIFS(Actuals!$J$4:$J$123,Actuals!$D$4:$D$123,"Application Development",Actuals!$A$4:$A$123,V$3)</f>
        <v>18.92736</v>
      </c>
      <c r="W41" s="47">
        <f>SUMIFS(Actuals!$J$4:$J$123,Actuals!$D$4:$D$123,"Application Development",Actuals!$A$4:$A$123,W$3)</f>
        <v>19.029119999999999</v>
      </c>
      <c r="X41" s="47">
        <f>SUMIFS(Actuals!$J$4:$J$123,Actuals!$D$4:$D$123,"Application Development",Actuals!$A$4:$A$123,X$3)</f>
        <v>19.23264</v>
      </c>
      <c r="Y41" s="47">
        <f>SUMIFS(Actuals!$J$4:$J$123,Actuals!$D$4:$D$123,"Application Development",Actuals!$A$4:$A$123,Y$3)</f>
        <v>19.334400000000002</v>
      </c>
      <c r="Z41" s="47">
        <f>'Headcount Plan'!K7</f>
        <v>20.06739</v>
      </c>
      <c r="AA41" s="47">
        <f>'Headcount Plan'!K12</f>
        <v>20.134281300000001</v>
      </c>
      <c r="AB41" s="47">
        <f>'Headcount Plan'!K17</f>
        <v>20.201395570999999</v>
      </c>
      <c r="AC41" s="47">
        <f>'Headcount Plan'!K22</f>
        <v>20.268733556236668</v>
      </c>
      <c r="AD41" s="47">
        <f>'Headcount Plan'!K27</f>
        <v>20.336296001424124</v>
      </c>
      <c r="AE41" s="47">
        <f>'Headcount Plan'!K32</f>
        <v>20.404083654762207</v>
      </c>
      <c r="AF41" s="47">
        <f>'Headcount Plan'!K37</f>
        <v>20.472097266944743</v>
      </c>
      <c r="AG41" s="47">
        <f>'Headcount Plan'!K42</f>
        <v>20.540337591167891</v>
      </c>
      <c r="AH41" s="47">
        <f>'Headcount Plan'!K47</f>
        <v>20.608805383138449</v>
      </c>
      <c r="AI41" s="47">
        <f>'Headcount Plan'!K52</f>
        <v>20.677501401082246</v>
      </c>
      <c r="AJ41" s="47">
        <f>'Headcount Plan'!K57</f>
        <v>20.746426405752519</v>
      </c>
      <c r="AK41" s="47">
        <f>'Headcount Plan'!K62</f>
        <v>20.815581160438363</v>
      </c>
      <c r="AL41" s="17">
        <f t="shared" si="0"/>
        <v>173.47199999999998</v>
      </c>
      <c r="AM41" s="17">
        <f t="shared" si="1"/>
        <v>222.04032000000001</v>
      </c>
      <c r="AN41" s="17">
        <f t="shared" si="2"/>
        <v>245.27292929194721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 t="s">
        <v>114</v>
      </c>
      <c r="B42" s="47">
        <f>SUMIFS(Actuals!$K$4:$K$123,Actuals!$D$4:$D$123,"Application Development",Actuals!$A$4:$A$123,B$3)</f>
        <v>2.1488361846529589</v>
      </c>
      <c r="C42" s="47">
        <f>SUMIFS(Actuals!$K$4:$K$123,Actuals!$D$4:$D$123,"Application Development",Actuals!$A$4:$A$123,C$3)</f>
        <v>2.191239806814977</v>
      </c>
      <c r="D42" s="47">
        <f>SUMIFS(Actuals!$K$4:$K$123,Actuals!$D$4:$D$123,"Application Development",Actuals!$A$4:$A$123,D$3)</f>
        <v>2.2559213252497869</v>
      </c>
      <c r="E42" s="47">
        <f>SUMIFS(Actuals!$K$4:$K$123,Actuals!$D$4:$D$123,"Application Development",Actuals!$A$4:$A$123,E$3)</f>
        <v>2.1947681159006645</v>
      </c>
      <c r="F42" s="47">
        <f>SUMIFS(Actuals!$K$4:$K$123,Actuals!$D$4:$D$123,"Application Development",Actuals!$A$4:$A$123,F$3)</f>
        <v>2.2839377030482306</v>
      </c>
      <c r="G42" s="47">
        <f>SUMIFS(Actuals!$K$4:$K$123,Actuals!$D$4:$D$123,"Application Development",Actuals!$A$4:$A$123,G$3)</f>
        <v>2.3237503354820466</v>
      </c>
      <c r="H42" s="47">
        <f>SUMIFS(Actuals!$K$4:$K$123,Actuals!$D$4:$D$123,"Application Development",Actuals!$A$4:$A$123,H$3)</f>
        <v>2.3451779138169746</v>
      </c>
      <c r="I42" s="47">
        <f>SUMIFS(Actuals!$K$4:$K$123,Actuals!$D$4:$D$123,"Application Development",Actuals!$A$4:$A$123,I$3)</f>
        <v>2.385509105267543</v>
      </c>
      <c r="J42" s="47">
        <f>SUMIFS(Actuals!$K$4:$K$123,Actuals!$D$4:$D$123,"Application Development",Actuals!$A$4:$A$123,J$3)</f>
        <v>2.4814606936465298</v>
      </c>
      <c r="K42" s="47">
        <f>SUMIFS(Actuals!$K$4:$K$123,Actuals!$D$4:$D$123,"Application Development",Actuals!$A$4:$A$123,K$3)</f>
        <v>2.5305297806549012</v>
      </c>
      <c r="L42" s="47">
        <f>SUMIFS(Actuals!$K$4:$K$123,Actuals!$D$4:$D$123,"Application Development",Actuals!$A$4:$A$123,L$3)</f>
        <v>2.4926278102176886</v>
      </c>
      <c r="M42" s="47">
        <f>SUMIFS(Actuals!$K$4:$K$123,Actuals!$D$4:$D$123,"Application Development",Actuals!$A$4:$A$123,M$3)</f>
        <v>2.4567187382670674</v>
      </c>
      <c r="N42" s="47">
        <f>SUMIFS(Actuals!$K$4:$K$123,Actuals!$D$4:$D$123,"Application Development",Actuals!$A$4:$A$123,N$3)</f>
        <v>2.6122553436649709</v>
      </c>
      <c r="O42" s="47">
        <f>SUMIFS(Actuals!$K$4:$K$123,Actuals!$D$4:$D$123,"Application Development",Actuals!$A$4:$A$123,O$3)</f>
        <v>2.6351124640058194</v>
      </c>
      <c r="P42" s="47">
        <f>SUMIFS(Actuals!$K$4:$K$123,Actuals!$D$4:$D$123,"Application Development",Actuals!$A$4:$A$123,P$3)</f>
        <v>2.6938541135579572</v>
      </c>
      <c r="Q42" s="47">
        <f>SUMIFS(Actuals!$K$4:$K$123,Actuals!$D$4:$D$123,"Application Development",Actuals!$A$4:$A$123,Q$3)</f>
        <v>2.5990753174259753</v>
      </c>
      <c r="R42" s="47">
        <f>SUMIFS(Actuals!$K$4:$K$123,Actuals!$D$4:$D$123,"Application Development",Actuals!$A$4:$A$123,R$3)</f>
        <v>2.7608107879306045</v>
      </c>
      <c r="S42" s="47">
        <f>SUMIFS(Actuals!$K$4:$K$123,Actuals!$D$4:$D$123,"Application Development",Actuals!$A$4:$A$123,S$3)</f>
        <v>2.7513143888533493</v>
      </c>
      <c r="T42" s="47">
        <f>SUMIFS(Actuals!$K$4:$K$123,Actuals!$D$4:$D$123,"Application Development",Actuals!$A$4:$A$123,T$3)</f>
        <v>2.8470204412822282</v>
      </c>
      <c r="U42" s="47">
        <f>SUMIFS(Actuals!$K$4:$K$123,Actuals!$D$4:$D$123,"Application Development",Actuals!$A$4:$A$123,U$3)</f>
        <v>2.8637203707589935</v>
      </c>
      <c r="V42" s="47">
        <f>SUMIFS(Actuals!$K$4:$K$123,Actuals!$D$4:$D$123,"Application Development",Actuals!$A$4:$A$123,V$3)</f>
        <v>2.9424506034899132</v>
      </c>
      <c r="W42" s="47">
        <f>SUMIFS(Actuals!$K$4:$K$123,Actuals!$D$4:$D$123,"Application Development",Actuals!$A$4:$A$123,W$3)</f>
        <v>2.9669699585172009</v>
      </c>
      <c r="X42" s="47">
        <f>SUMIFS(Actuals!$K$4:$K$123,Actuals!$D$4:$D$123,"Application Development",Actuals!$A$4:$A$123,X$3)</f>
        <v>2.9565371009744865</v>
      </c>
      <c r="Y42" s="47">
        <f>SUMIFS(Actuals!$K$4:$K$123,Actuals!$D$4:$D$123,"Application Development",Actuals!$A$4:$A$123,Y$3)</f>
        <v>2.9075939441810958</v>
      </c>
      <c r="Z42" s="47">
        <f>Z40*Assumptions!$B$23</f>
        <v>2.9006087040000001</v>
      </c>
      <c r="AA42" s="47">
        <f>AA40*Assumptions!$B$23</f>
        <v>2.9102773996800004</v>
      </c>
      <c r="AB42" s="47">
        <f>AB40*Assumptions!$B$23</f>
        <v>2.9199783243456001</v>
      </c>
      <c r="AC42" s="47">
        <f>AC40*Assumptions!$B$23</f>
        <v>2.9297115854267526</v>
      </c>
      <c r="AD42" s="47">
        <f>AD40*Assumptions!$B$23</f>
        <v>2.9394772907115079</v>
      </c>
      <c r="AE42" s="47">
        <f>AE40*Assumptions!$B$23</f>
        <v>2.9492755483472131</v>
      </c>
      <c r="AF42" s="47">
        <f>AF40*Assumptions!$B$23</f>
        <v>2.9591064668417038</v>
      </c>
      <c r="AG42" s="47">
        <f>AG40*Assumptions!$B$23</f>
        <v>2.9689701550645089</v>
      </c>
      <c r="AH42" s="47">
        <f>AH40*Assumptions!$B$23</f>
        <v>2.9788667222480574</v>
      </c>
      <c r="AI42" s="47">
        <f>AI40*Assumptions!$B$23</f>
        <v>2.9887962779888846</v>
      </c>
      <c r="AJ42" s="47">
        <f>AJ40*Assumptions!$B$23</f>
        <v>2.998758932248847</v>
      </c>
      <c r="AK42" s="47">
        <f>AK40*Assumptions!$B$23</f>
        <v>3.008754795356344</v>
      </c>
      <c r="AL42" s="17">
        <f t="shared" si="0"/>
        <v>25.941641328366412</v>
      </c>
      <c r="AM42" s="17">
        <f t="shared" si="1"/>
        <v>33.536714834642595</v>
      </c>
      <c r="AN42" s="17">
        <f t="shared" si="2"/>
        <v>35.452582202259421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 t="s">
        <v>115</v>
      </c>
      <c r="B43" s="50">
        <f t="shared" ref="B43:AK43" si="25">B40-B41-B42</f>
        <v>10.878127252398457</v>
      </c>
      <c r="C43" s="50">
        <f t="shared" si="25"/>
        <v>11.194420021950959</v>
      </c>
      <c r="D43" s="50">
        <f t="shared" si="25"/>
        <v>11.873758223448744</v>
      </c>
      <c r="E43" s="50">
        <f t="shared" si="25"/>
        <v>10.94871390878329</v>
      </c>
      <c r="F43" s="50">
        <f t="shared" si="25"/>
        <v>11.921590907967754</v>
      </c>
      <c r="G43" s="50">
        <f t="shared" si="25"/>
        <v>12.20682544999908</v>
      </c>
      <c r="H43" s="50">
        <f t="shared" si="25"/>
        <v>12.367678109780098</v>
      </c>
      <c r="I43" s="50">
        <f t="shared" si="25"/>
        <v>12.659128625479768</v>
      </c>
      <c r="J43" s="50">
        <f t="shared" si="25"/>
        <v>13.713301561503208</v>
      </c>
      <c r="K43" s="50">
        <f t="shared" si="25"/>
        <v>14.109493344733426</v>
      </c>
      <c r="L43" s="50">
        <f t="shared" si="25"/>
        <v>13.559161932869175</v>
      </c>
      <c r="M43" s="50">
        <f t="shared" si="25"/>
        <v>12.936719421045495</v>
      </c>
      <c r="N43" s="50">
        <f t="shared" si="25"/>
        <v>13.708658729906078</v>
      </c>
      <c r="O43" s="50">
        <f t="shared" si="25"/>
        <v>13.779127328277548</v>
      </c>
      <c r="P43" s="50">
        <f t="shared" si="25"/>
        <v>14.381504244337592</v>
      </c>
      <c r="Q43" s="50">
        <f t="shared" si="25"/>
        <v>13.041869584210069</v>
      </c>
      <c r="R43" s="50">
        <f t="shared" si="25"/>
        <v>14.777074769609715</v>
      </c>
      <c r="S43" s="50">
        <f t="shared" si="25"/>
        <v>14.561481310540803</v>
      </c>
      <c r="T43" s="50">
        <f t="shared" si="25"/>
        <v>15.505191003941512</v>
      </c>
      <c r="U43" s="50">
        <f t="shared" si="25"/>
        <v>15.603613275461704</v>
      </c>
      <c r="V43" s="50">
        <f t="shared" si="25"/>
        <v>16.34383359767779</v>
      </c>
      <c r="W43" s="50">
        <f t="shared" si="25"/>
        <v>16.535987424823073</v>
      </c>
      <c r="X43" s="50">
        <f t="shared" si="25"/>
        <v>16.207408625966895</v>
      </c>
      <c r="Y43" s="50">
        <f t="shared" si="25"/>
        <v>15.518966369859106</v>
      </c>
      <c r="Z43" s="50">
        <f t="shared" si="25"/>
        <v>15.706784016000004</v>
      </c>
      <c r="AA43" s="50">
        <f t="shared" si="25"/>
        <v>15.759139962720008</v>
      </c>
      <c r="AB43" s="50">
        <f t="shared" si="25"/>
        <v>15.811670429262406</v>
      </c>
      <c r="AC43" s="50">
        <f t="shared" si="25"/>
        <v>15.86437599735995</v>
      </c>
      <c r="AD43" s="50">
        <f t="shared" si="25"/>
        <v>15.917257250684472</v>
      </c>
      <c r="AE43" s="50">
        <f t="shared" si="25"/>
        <v>15.970314774853421</v>
      </c>
      <c r="AF43" s="50">
        <f t="shared" si="25"/>
        <v>16.023549157436271</v>
      </c>
      <c r="AG43" s="50">
        <f t="shared" si="25"/>
        <v>16.076960987961055</v>
      </c>
      <c r="AH43" s="50">
        <f t="shared" si="25"/>
        <v>16.130550857920927</v>
      </c>
      <c r="AI43" s="50">
        <f t="shared" si="25"/>
        <v>16.184319360780666</v>
      </c>
      <c r="AJ43" s="50">
        <f t="shared" si="25"/>
        <v>16.238267091983264</v>
      </c>
      <c r="AK43" s="50">
        <f t="shared" si="25"/>
        <v>16.292394648956545</v>
      </c>
      <c r="AL43" s="17">
        <f t="shared" si="0"/>
        <v>137.490791507561</v>
      </c>
      <c r="AM43" s="17">
        <f t="shared" si="1"/>
        <v>179.96471626461189</v>
      </c>
      <c r="AN43" s="17">
        <f t="shared" si="2"/>
        <v>191.97558453591898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 t="s">
        <v>34</v>
      </c>
      <c r="B44" s="64">
        <f t="shared" ref="B44:AK44" si="26">IFERROR(B43/B40,0)</f>
        <v>0.3897997457493288</v>
      </c>
      <c r="C44" s="64">
        <f t="shared" si="26"/>
        <v>0.39337106737902855</v>
      </c>
      <c r="D44" s="64">
        <f t="shared" si="26"/>
        <v>0.40527981759484438</v>
      </c>
      <c r="E44" s="64">
        <f t="shared" si="26"/>
        <v>0.38411847013293771</v>
      </c>
      <c r="F44" s="64">
        <f t="shared" si="26"/>
        <v>0.40192098877669435</v>
      </c>
      <c r="G44" s="64">
        <f t="shared" si="26"/>
        <v>0.40448646539084748</v>
      </c>
      <c r="H44" s="64">
        <f t="shared" si="26"/>
        <v>0.40607205485024411</v>
      </c>
      <c r="I44" s="64">
        <f t="shared" si="26"/>
        <v>0.40861420399090043</v>
      </c>
      <c r="J44" s="64">
        <f t="shared" si="26"/>
        <v>0.42552526539683228</v>
      </c>
      <c r="K44" s="64">
        <f t="shared" si="26"/>
        <v>0.42932946130485983</v>
      </c>
      <c r="L44" s="64">
        <f t="shared" si="26"/>
        <v>0.41885734587055978</v>
      </c>
      <c r="M44" s="64">
        <f t="shared" si="26"/>
        <v>0.40547067106393975</v>
      </c>
      <c r="N44" s="64">
        <f t="shared" si="26"/>
        <v>0.40408252001958483</v>
      </c>
      <c r="O44" s="64">
        <f t="shared" si="26"/>
        <v>0.40263663079657769</v>
      </c>
      <c r="P44" s="64">
        <f t="shared" si="26"/>
        <v>0.41107490611338543</v>
      </c>
      <c r="Q44" s="64">
        <f t="shared" si="26"/>
        <v>0.38637739785806602</v>
      </c>
      <c r="R44" s="64">
        <f t="shared" si="26"/>
        <v>0.41213789884993324</v>
      </c>
      <c r="S44" s="64">
        <f t="shared" si="26"/>
        <v>0.40752669540573022</v>
      </c>
      <c r="T44" s="64">
        <f t="shared" si="26"/>
        <v>0.41935059193526314</v>
      </c>
      <c r="U44" s="64">
        <f t="shared" si="26"/>
        <v>0.41955151574108274</v>
      </c>
      <c r="V44" s="64">
        <f t="shared" si="26"/>
        <v>0.42769628333898518</v>
      </c>
      <c r="W44" s="64">
        <f t="shared" si="26"/>
        <v>0.42914860936027738</v>
      </c>
      <c r="X44" s="64">
        <f t="shared" si="26"/>
        <v>0.42210546378332775</v>
      </c>
      <c r="Y44" s="64">
        <f t="shared" si="26"/>
        <v>0.41097912343317378</v>
      </c>
      <c r="Z44" s="64">
        <f t="shared" si="26"/>
        <v>0.40612468671679203</v>
      </c>
      <c r="AA44" s="64">
        <f t="shared" si="26"/>
        <v>0.40612468671679208</v>
      </c>
      <c r="AB44" s="64">
        <f t="shared" si="26"/>
        <v>0.40612468671679208</v>
      </c>
      <c r="AC44" s="64">
        <f t="shared" si="26"/>
        <v>0.40612468671679208</v>
      </c>
      <c r="AD44" s="64">
        <f t="shared" si="26"/>
        <v>0.40612468671679192</v>
      </c>
      <c r="AE44" s="64">
        <f t="shared" si="26"/>
        <v>0.40612468671679192</v>
      </c>
      <c r="AF44" s="64">
        <f t="shared" si="26"/>
        <v>0.40612468671679203</v>
      </c>
      <c r="AG44" s="64">
        <f t="shared" si="26"/>
        <v>0.40612468671679203</v>
      </c>
      <c r="AH44" s="64">
        <f t="shared" si="26"/>
        <v>0.40612468671679203</v>
      </c>
      <c r="AI44" s="64">
        <f t="shared" si="26"/>
        <v>0.40612468671679203</v>
      </c>
      <c r="AJ44" s="64">
        <f t="shared" si="26"/>
        <v>0.40612468671679203</v>
      </c>
      <c r="AK44" s="64">
        <f t="shared" si="26"/>
        <v>0.40612468671679203</v>
      </c>
      <c r="AL44" s="17">
        <f t="shared" si="0"/>
        <v>4.4830458117516887</v>
      </c>
      <c r="AM44" s="17">
        <f t="shared" si="1"/>
        <v>4.9526676366353879</v>
      </c>
      <c r="AN44" s="17">
        <f t="shared" si="2"/>
        <v>4.8734962406015043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 t="s">
        <v>116</v>
      </c>
      <c r="B45" s="47">
        <f>SUMIFS(Actuals!$L$4:$L$123,Actuals!$D$4:$D$123,"Application Development",Actuals!$A$4:$A$123,B$3)</f>
        <v>1.24</v>
      </c>
      <c r="C45" s="47">
        <f>SUMIFS(Actuals!$L$4:$L$123,Actuals!$D$4:$D$123,"Application Development",Actuals!$A$4:$A$123,C$3)</f>
        <v>1.256</v>
      </c>
      <c r="D45" s="47">
        <f>SUMIFS(Actuals!$L$4:$L$123,Actuals!$D$4:$D$123,"Application Development",Actuals!$A$4:$A$123,D$3)</f>
        <v>1.264</v>
      </c>
      <c r="E45" s="47">
        <f>SUMIFS(Actuals!$L$4:$L$123,Actuals!$D$4:$D$123,"Application Development",Actuals!$A$4:$A$123,E$3)</f>
        <v>1.28</v>
      </c>
      <c r="F45" s="47">
        <f>SUMIFS(Actuals!$L$4:$L$123,Actuals!$D$4:$D$123,"Application Development",Actuals!$A$4:$A$123,F$3)</f>
        <v>1.288</v>
      </c>
      <c r="G45" s="47">
        <f>SUMIFS(Actuals!$L$4:$L$123,Actuals!$D$4:$D$123,"Application Development",Actuals!$A$4:$A$123,G$3)</f>
        <v>1.304</v>
      </c>
      <c r="H45" s="47">
        <f>SUMIFS(Actuals!$L$4:$L$123,Actuals!$D$4:$D$123,"Application Development",Actuals!$A$4:$A$123,H$3)</f>
        <v>1.3120000000000001</v>
      </c>
      <c r="I45" s="47">
        <f>SUMIFS(Actuals!$L$4:$L$123,Actuals!$D$4:$D$123,"Application Development",Actuals!$A$4:$A$123,I$3)</f>
        <v>1.3280000000000001</v>
      </c>
      <c r="J45" s="47">
        <f>SUMIFS(Actuals!$L$4:$L$123,Actuals!$D$4:$D$123,"Application Development",Actuals!$A$4:$A$123,J$3)</f>
        <v>1.3360000000000001</v>
      </c>
      <c r="K45" s="47">
        <f>SUMIFS(Actuals!$L$4:$L$123,Actuals!$D$4:$D$123,"Application Development",Actuals!$A$4:$A$123,K$3)</f>
        <v>1.3520000000000001</v>
      </c>
      <c r="L45" s="47">
        <f>SUMIFS(Actuals!$L$4:$L$123,Actuals!$D$4:$D$123,"Application Development",Actuals!$A$4:$A$123,L$3)</f>
        <v>1.36</v>
      </c>
      <c r="M45" s="47">
        <f>SUMIFS(Actuals!$L$4:$L$123,Actuals!$D$4:$D$123,"Application Development",Actuals!$A$4:$A$123,M$3)</f>
        <v>1.3760000000000001</v>
      </c>
      <c r="N45" s="47">
        <f>SUMIFS(Actuals!$L$4:$L$123,Actuals!$D$4:$D$123,"Application Development",Actuals!$A$4:$A$123,N$3)</f>
        <v>1.4532000000000003</v>
      </c>
      <c r="O45" s="47">
        <f>SUMIFS(Actuals!$L$4:$L$123,Actuals!$D$4:$D$123,"Application Development",Actuals!$A$4:$A$123,O$3)</f>
        <v>1.4700000000000002</v>
      </c>
      <c r="P45" s="47">
        <f>SUMIFS(Actuals!$L$4:$L$123,Actuals!$D$4:$D$123,"Application Development",Actuals!$A$4:$A$123,P$3)</f>
        <v>1.4783999999999999</v>
      </c>
      <c r="Q45" s="47">
        <f>SUMIFS(Actuals!$L$4:$L$123,Actuals!$D$4:$D$123,"Application Development",Actuals!$A$4:$A$123,Q$3)</f>
        <v>1.4952000000000001</v>
      </c>
      <c r="R45" s="47">
        <f>SUMIFS(Actuals!$L$4:$L$123,Actuals!$D$4:$D$123,"Application Development",Actuals!$A$4:$A$123,R$3)</f>
        <v>1.512</v>
      </c>
      <c r="S45" s="47">
        <f>SUMIFS(Actuals!$L$4:$L$123,Actuals!$D$4:$D$123,"Application Development",Actuals!$A$4:$A$123,S$3)</f>
        <v>1.5204</v>
      </c>
      <c r="T45" s="47">
        <f>SUMIFS(Actuals!$L$4:$L$123,Actuals!$D$4:$D$123,"Application Development",Actuals!$A$4:$A$123,T$3)</f>
        <v>1.5372000000000001</v>
      </c>
      <c r="U45" s="47">
        <f>SUMIFS(Actuals!$L$4:$L$123,Actuals!$D$4:$D$123,"Application Development",Actuals!$A$4:$A$123,U$3)</f>
        <v>1.5456000000000001</v>
      </c>
      <c r="V45" s="47">
        <f>SUMIFS(Actuals!$L$4:$L$123,Actuals!$D$4:$D$123,"Application Development",Actuals!$A$4:$A$123,V$3)</f>
        <v>1.5624</v>
      </c>
      <c r="W45" s="47">
        <f>SUMIFS(Actuals!$L$4:$L$123,Actuals!$D$4:$D$123,"Application Development",Actuals!$A$4:$A$123,W$3)</f>
        <v>1.5708</v>
      </c>
      <c r="X45" s="47">
        <f>SUMIFS(Actuals!$L$4:$L$123,Actuals!$D$4:$D$123,"Application Development",Actuals!$A$4:$A$123,X$3)</f>
        <v>1.5876000000000001</v>
      </c>
      <c r="Y45" s="47">
        <f>SUMIFS(Actuals!$L$4:$L$123,Actuals!$D$4:$D$123,"Application Development",Actuals!$A$4:$A$123,Y$3)</f>
        <v>1.5960000000000001</v>
      </c>
      <c r="Z45" s="47">
        <f>'Headcount Plan'!G7*Assumptions!G16*(1+Assumptions!$B$9)</f>
        <v>1.7038350000000002</v>
      </c>
      <c r="AA45" s="47">
        <f>'Headcount Plan'!G12*Assumptions!G16*(1+Assumptions!$B$9)</f>
        <v>1.7095144500000001</v>
      </c>
      <c r="AB45" s="47">
        <f>'Headcount Plan'!G17*Assumptions!G16*(1+Assumptions!$B$9)</f>
        <v>1.7152128314999999</v>
      </c>
      <c r="AC45" s="47">
        <f>'Headcount Plan'!G22*Assumptions!G16*(1+Assumptions!$B$9)</f>
        <v>1.7209302076050002</v>
      </c>
      <c r="AD45" s="47">
        <f>'Headcount Plan'!G27*Assumptions!G16*(1+Assumptions!$B$9)</f>
        <v>1.72666664163035</v>
      </c>
      <c r="AE45" s="47">
        <f>'Headcount Plan'!G32*Assumptions!G16*(1+Assumptions!$B$9)</f>
        <v>1.7324221971024516</v>
      </c>
      <c r="AF45" s="47">
        <f>'Headcount Plan'!G37*Assumptions!G16*(1+Assumptions!$B$9)</f>
        <v>1.7381969377594595</v>
      </c>
      <c r="AG45" s="47">
        <f>'Headcount Plan'!G42*Assumptions!G16*(1+Assumptions!$B$9)</f>
        <v>1.7439909275519907</v>
      </c>
      <c r="AH45" s="47">
        <f>'Headcount Plan'!G47*Assumptions!G16*(1+Assumptions!$B$9)</f>
        <v>1.7498042306438306</v>
      </c>
      <c r="AI45" s="47">
        <f>'Headcount Plan'!G52*Assumptions!G16*(1+Assumptions!$B$9)</f>
        <v>1.7556369114126436</v>
      </c>
      <c r="AJ45" s="47">
        <f>'Headcount Plan'!G57*Assumptions!G16*(1+Assumptions!$B$9)</f>
        <v>1.7614890344506857</v>
      </c>
      <c r="AK45" s="47">
        <f>'Headcount Plan'!G62*Assumptions!G16*(1+Assumptions!$B$9)</f>
        <v>1.7673606645655213</v>
      </c>
      <c r="AL45" s="17">
        <f t="shared" si="0"/>
        <v>14.456</v>
      </c>
      <c r="AM45" s="17">
        <f t="shared" si="1"/>
        <v>18.328800000000005</v>
      </c>
      <c r="AN45" s="17">
        <f t="shared" si="2"/>
        <v>20.825060034221934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 t="s">
        <v>117</v>
      </c>
      <c r="B46" s="47">
        <f>SUMIFS(Actuals!$M$4:$M$123,Actuals!$D$4:$D$123,"Application Development",Actuals!$A$4:$A$123,B$3)</f>
        <v>0.85249999999999992</v>
      </c>
      <c r="C46" s="47">
        <v>0.86349999999999993</v>
      </c>
      <c r="D46" s="47">
        <v>0.86899999999999999</v>
      </c>
      <c r="E46" s="47">
        <v>0.87999999999999989</v>
      </c>
      <c r="F46" s="47">
        <v>0.88549999999999995</v>
      </c>
      <c r="G46" s="47">
        <v>0.89649999999999996</v>
      </c>
      <c r="H46" s="47">
        <v>0.90199999999999991</v>
      </c>
      <c r="I46" s="47">
        <v>0.91299999999999992</v>
      </c>
      <c r="J46" s="47">
        <v>0.91849999999999998</v>
      </c>
      <c r="K46" s="47">
        <v>0.92949999999999999</v>
      </c>
      <c r="L46" s="47">
        <v>0.93499999999999994</v>
      </c>
      <c r="M46" s="47">
        <v>0.94599999999999995</v>
      </c>
      <c r="N46" s="47">
        <v>0.9514999999999999</v>
      </c>
      <c r="O46" s="47">
        <v>0.96249999999999991</v>
      </c>
      <c r="P46" s="47">
        <v>0.96799999999999997</v>
      </c>
      <c r="Q46" s="47">
        <v>0.97899999999999998</v>
      </c>
      <c r="R46" s="47">
        <v>0.99</v>
      </c>
      <c r="S46" s="47">
        <v>0.99549999999999994</v>
      </c>
      <c r="T46" s="47">
        <v>1.0065</v>
      </c>
      <c r="U46" s="47">
        <v>1.012</v>
      </c>
      <c r="V46" s="47">
        <v>1.0229999999999999</v>
      </c>
      <c r="W46" s="47">
        <v>1.0285</v>
      </c>
      <c r="X46" s="47">
        <v>1.0394999999999999</v>
      </c>
      <c r="Y46" s="47">
        <v>1.0449999999999999</v>
      </c>
      <c r="Z46" s="47">
        <v>1.1358900000000001</v>
      </c>
      <c r="AA46" s="47">
        <v>1.1396763000000001</v>
      </c>
      <c r="AB46" s="47">
        <v>1.1434752210000001</v>
      </c>
      <c r="AC46" s="47">
        <v>1.14728680507</v>
      </c>
      <c r="AD46" s="47">
        <v>1.1511110944202334</v>
      </c>
      <c r="AE46" s="47">
        <v>1.1549481314016343</v>
      </c>
      <c r="AF46" s="47">
        <v>1.1587979585063064</v>
      </c>
      <c r="AG46" s="47">
        <v>1.1626606183679937</v>
      </c>
      <c r="AH46" s="47">
        <v>1.1665361537625538</v>
      </c>
      <c r="AI46" s="47">
        <v>1.170424607608429</v>
      </c>
      <c r="AJ46" s="47">
        <v>1.1743260229671237</v>
      </c>
      <c r="AK46" s="47">
        <v>1.178240443043681</v>
      </c>
      <c r="AL46" s="17">
        <f t="shared" si="0"/>
        <v>9.9385000000000012</v>
      </c>
      <c r="AM46" s="17">
        <f t="shared" si="1"/>
        <v>12.000999999999999</v>
      </c>
      <c r="AN46" s="17">
        <f t="shared" si="2"/>
        <v>13.883373356147958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 t="s">
        <v>123</v>
      </c>
      <c r="B47" s="47">
        <f>SUMIFS(Actuals!$N$4:$N$123,Actuals!$D$4:$D$123,"Application Development",Actuals!$A$4:$A$123,B$3)+SUMIFS(Actuals!$O$4:$O$123,Actuals!$D$4:$D$123,"Application Development",Actuals!$A$4:$A$123,B$3)+SUMIFS(Actuals!$P$4:$P$123,Actuals!$D$4:$D$123,"Application Development",Actuals!$A$4:$A$123,B$3)</f>
        <v>1.0046506837338509</v>
      </c>
      <c r="C47" s="47">
        <f>SUMIFS(Actuals!$N$4:$N$123,Actuals!$D$4:$D$123,"Application Development",Actuals!$A$4:$A$123,C$3)+SUMIFS(Actuals!$O$4:$O$123,Actuals!$D$4:$D$123,"Application Development",Actuals!$A$4:$A$123,C$3)+SUMIFS(Actuals!$P$4:$P$123,Actuals!$D$4:$D$123,"Application Development",Actuals!$A$4:$A$123,C$3)</f>
        <v>1.1098487333218716</v>
      </c>
      <c r="D47" s="47">
        <f>SUMIFS(Actuals!$N$4:$N$123,Actuals!$D$4:$D$123,"Application Development",Actuals!$A$4:$A$123,D$3)+SUMIFS(Actuals!$O$4:$O$123,Actuals!$D$4:$D$123,"Application Development",Actuals!$A$4:$A$123,D$3)+SUMIFS(Actuals!$P$4:$P$123,Actuals!$D$4:$D$123,"Application Development",Actuals!$A$4:$A$123,D$3)</f>
        <v>1.1426095023992429</v>
      </c>
      <c r="E47" s="47">
        <f>SUMIFS(Actuals!$N$4:$N$123,Actuals!$D$4:$D$123,"Application Development",Actuals!$A$4:$A$123,E$3)+SUMIFS(Actuals!$O$4:$O$123,Actuals!$D$4:$D$123,"Application Development",Actuals!$A$4:$A$123,E$3)+SUMIFS(Actuals!$P$4:$P$123,Actuals!$D$4:$D$123,"Application Development",Actuals!$A$4:$A$123,E$3)</f>
        <v>1.0261253528886225</v>
      </c>
      <c r="F47" s="47">
        <f>SUMIFS(Actuals!$N$4:$N$123,Actuals!$D$4:$D$123,"Application Development",Actuals!$A$4:$A$123,F$3)+SUMIFS(Actuals!$O$4:$O$123,Actuals!$D$4:$D$123,"Application Development",Actuals!$A$4:$A$123,F$3)+SUMIFS(Actuals!$P$4:$P$123,Actuals!$D$4:$D$123,"Application Development",Actuals!$A$4:$A$123,F$3)</f>
        <v>1.0678150299965754</v>
      </c>
      <c r="G47" s="47">
        <f>SUMIFS(Actuals!$N$4:$N$123,Actuals!$D$4:$D$123,"Application Development",Actuals!$A$4:$A$123,G$3)+SUMIFS(Actuals!$O$4:$O$123,Actuals!$D$4:$D$123,"Application Development",Actuals!$A$4:$A$123,G$3)+SUMIFS(Actuals!$P$4:$P$123,Actuals!$D$4:$D$123,"Application Development",Actuals!$A$4:$A$123,G$3)</f>
        <v>1.0864287282773206</v>
      </c>
      <c r="H47" s="47">
        <f>SUMIFS(Actuals!$N$4:$N$123,Actuals!$D$4:$D$123,"Application Development",Actuals!$A$4:$A$123,H$3)+SUMIFS(Actuals!$O$4:$O$123,Actuals!$D$4:$D$123,"Application Development",Actuals!$A$4:$A$123,H$3)+SUMIFS(Actuals!$P$4:$P$123,Actuals!$D$4:$D$123,"Application Development",Actuals!$A$4:$A$123,H$3)</f>
        <v>1.0964468168494945</v>
      </c>
      <c r="I47" s="47">
        <f>SUMIFS(Actuals!$N$4:$N$123,Actuals!$D$4:$D$123,"Application Development",Actuals!$A$4:$A$123,I$3)+SUMIFS(Actuals!$O$4:$O$123,Actuals!$D$4:$D$123,"Application Development",Actuals!$A$4:$A$123,I$3)+SUMIFS(Actuals!$P$4:$P$123,Actuals!$D$4:$D$123,"Application Development",Actuals!$A$4:$A$123,I$3)</f>
        <v>1.1153029583069032</v>
      </c>
      <c r="J47" s="47">
        <f>SUMIFS(Actuals!$N$4:$N$123,Actuals!$D$4:$D$123,"Application Development",Actuals!$A$4:$A$123,J$3)+SUMIFS(Actuals!$O$4:$O$123,Actuals!$D$4:$D$123,"Application Development",Actuals!$A$4:$A$123,J$3)+SUMIFS(Actuals!$P$4:$P$123,Actuals!$D$4:$D$123,"Application Development",Actuals!$A$4:$A$123,J$3)</f>
        <v>1.2568437279508398</v>
      </c>
      <c r="K47" s="47">
        <f>SUMIFS(Actuals!$N$4:$N$123,Actuals!$D$4:$D$123,"Application Development",Actuals!$A$4:$A$123,K$3)+SUMIFS(Actuals!$O$4:$O$123,Actuals!$D$4:$D$123,"Application Development",Actuals!$A$4:$A$123,K$3)+SUMIFS(Actuals!$P$4:$P$123,Actuals!$D$4:$D$123,"Application Development",Actuals!$A$4:$A$123,K$3)</f>
        <v>1.281696901890145</v>
      </c>
      <c r="L47" s="47">
        <f>SUMIFS(Actuals!$N$4:$N$123,Actuals!$D$4:$D$123,"Application Development",Actuals!$A$4:$A$123,L$3)+SUMIFS(Actuals!$O$4:$O$123,Actuals!$D$4:$D$123,"Application Development",Actuals!$A$4:$A$123,L$3)+SUMIFS(Actuals!$P$4:$P$123,Actuals!$D$4:$D$123,"Application Development",Actuals!$A$4:$A$123,L$3)</f>
        <v>1.1653844307511272</v>
      </c>
      <c r="M47" s="47">
        <f>SUMIFS(Actuals!$N$4:$N$123,Actuals!$D$4:$D$123,"Application Development",Actuals!$A$4:$A$123,M$3)+SUMIFS(Actuals!$O$4:$O$123,Actuals!$D$4:$D$123,"Application Development",Actuals!$A$4:$A$123,M$3)+SUMIFS(Actuals!$P$4:$P$123,Actuals!$D$4:$D$123,"Application Development",Actuals!$A$4:$A$123,M$3)</f>
        <v>1.1485957737352521</v>
      </c>
      <c r="N47" s="47">
        <f>SUMIFS(Actuals!$N$4:$N$123,Actuals!$D$4:$D$123,"Application Development",Actuals!$A$4:$A$123,N$3)+SUMIFS(Actuals!$O$4:$O$123,Actuals!$D$4:$D$123,"Application Development",Actuals!$A$4:$A$123,N$3)+SUMIFS(Actuals!$P$4:$P$123,Actuals!$D$4:$D$123,"Application Development",Actuals!$A$4:$A$123,N$3)</f>
        <v>1.2213141866485577</v>
      </c>
      <c r="O47" s="47">
        <f>SUMIFS(Actuals!$N$4:$N$123,Actuals!$D$4:$D$123,"Application Development",Actuals!$A$4:$A$123,O$3)+SUMIFS(Actuals!$O$4:$O$123,Actuals!$D$4:$D$123,"Application Development",Actuals!$A$4:$A$123,O$3)+SUMIFS(Actuals!$P$4:$P$123,Actuals!$D$4:$D$123,"Application Development",Actuals!$A$4:$A$123,O$3)</f>
        <v>1.3346673518990513</v>
      </c>
      <c r="P47" s="47">
        <f>SUMIFS(Actuals!$N$4:$N$123,Actuals!$D$4:$D$123,"Application Development",Actuals!$A$4:$A$123,P$3)+SUMIFS(Actuals!$O$4:$O$123,Actuals!$D$4:$D$123,"Application Development",Actuals!$A$4:$A$123,P$3)+SUMIFS(Actuals!$P$4:$P$123,Actuals!$D$4:$D$123,"Application Development",Actuals!$A$4:$A$123,P$3)</f>
        <v>1.3644196159579263</v>
      </c>
      <c r="Q47" s="47">
        <f>SUMIFS(Actuals!$N$4:$N$123,Actuals!$D$4:$D$123,"Application Development",Actuals!$A$4:$A$123,Q$3)+SUMIFS(Actuals!$O$4:$O$123,Actuals!$D$4:$D$123,"Application Development",Actuals!$A$4:$A$123,Q$3)+SUMIFS(Actuals!$P$4:$P$123,Actuals!$D$4:$D$123,"Application Development",Actuals!$A$4:$A$123,Q$3)</f>
        <v>1.2151520964588975</v>
      </c>
      <c r="R47" s="47">
        <f>SUMIFS(Actuals!$N$4:$N$123,Actuals!$D$4:$D$123,"Application Development",Actuals!$A$4:$A$123,R$3)+SUMIFS(Actuals!$O$4:$O$123,Actuals!$D$4:$D$123,"Application Development",Actuals!$A$4:$A$123,R$3)+SUMIFS(Actuals!$P$4:$P$123,Actuals!$D$4:$D$123,"Application Development",Actuals!$A$4:$A$123,R$3)</f>
        <v>1.2907686800714515</v>
      </c>
      <c r="S47" s="47">
        <f>SUMIFS(Actuals!$N$4:$N$123,Actuals!$D$4:$D$123,"Application Development",Actuals!$A$4:$A$123,S$3)+SUMIFS(Actuals!$O$4:$O$123,Actuals!$D$4:$D$123,"Application Development",Actuals!$A$4:$A$123,S$3)+SUMIFS(Actuals!$P$4:$P$123,Actuals!$D$4:$D$123,"Application Development",Actuals!$A$4:$A$123,S$3)</f>
        <v>1.2863288051781896</v>
      </c>
      <c r="T47" s="47">
        <f>SUMIFS(Actuals!$N$4:$N$123,Actuals!$D$4:$D$123,"Application Development",Actuals!$A$4:$A$123,T$3)+SUMIFS(Actuals!$O$4:$O$123,Actuals!$D$4:$D$123,"Application Development",Actuals!$A$4:$A$123,T$3)+SUMIFS(Actuals!$P$4:$P$123,Actuals!$D$4:$D$123,"Application Development",Actuals!$A$4:$A$123,T$3)</f>
        <v>1.3310744920280546</v>
      </c>
      <c r="U47" s="47">
        <f>SUMIFS(Actuals!$N$4:$N$123,Actuals!$D$4:$D$123,"Application Development",Actuals!$A$4:$A$123,U$3)+SUMIFS(Actuals!$O$4:$O$123,Actuals!$D$4:$D$123,"Application Development",Actuals!$A$4:$A$123,U$3)+SUMIFS(Actuals!$P$4:$P$123,Actuals!$D$4:$D$123,"Application Development",Actuals!$A$4:$A$123,U$3)</f>
        <v>1.3388822512639451</v>
      </c>
      <c r="V47" s="47">
        <f>SUMIFS(Actuals!$N$4:$N$123,Actuals!$D$4:$D$123,"Application Development",Actuals!$A$4:$A$123,V$3)+SUMIFS(Actuals!$O$4:$O$123,Actuals!$D$4:$D$123,"Application Development",Actuals!$A$4:$A$123,V$3)+SUMIFS(Actuals!$P$4:$P$123,Actuals!$D$4:$D$123,"Application Development",Actuals!$A$4:$A$123,V$3)</f>
        <v>1.4903321238455405</v>
      </c>
      <c r="W47" s="47">
        <f>SUMIFS(Actuals!$N$4:$N$123,Actuals!$D$4:$D$123,"Application Development",Actuals!$A$4:$A$123,W$3)+SUMIFS(Actuals!$O$4:$O$123,Actuals!$D$4:$D$123,"Application Development",Actuals!$A$4:$A$123,W$3)+SUMIFS(Actuals!$P$4:$P$123,Actuals!$D$4:$D$123,"Application Development",Actuals!$A$4:$A$123,W$3)</f>
        <v>1.5027510179502706</v>
      </c>
      <c r="X47" s="47">
        <f>SUMIFS(Actuals!$N$4:$N$123,Actuals!$D$4:$D$123,"Application Development",Actuals!$A$4:$A$123,X$3)+SUMIFS(Actuals!$O$4:$O$123,Actuals!$D$4:$D$123,"Application Development",Actuals!$A$4:$A$123,X$3)+SUMIFS(Actuals!$P$4:$P$123,Actuals!$D$4:$D$123,"Application Development",Actuals!$A$4:$A$123,X$3)</f>
        <v>1.3822770861698896</v>
      </c>
      <c r="Y47" s="47">
        <f>SUMIFS(Actuals!$N$4:$N$123,Actuals!$D$4:$D$123,"Application Development",Actuals!$A$4:$A$123,Y$3)+SUMIFS(Actuals!$O$4:$O$123,Actuals!$D$4:$D$123,"Application Development",Actuals!$A$4:$A$123,Y$3)+SUMIFS(Actuals!$P$4:$P$123,Actuals!$D$4:$D$123,"Application Development",Actuals!$A$4:$A$123,Y$3)</f>
        <v>1.3593945713054474</v>
      </c>
      <c r="Z47" s="47">
        <f>Z40*Assumptions!$B$25*(1+Assumptions!$B$9)</f>
        <v>1.8273834835200002</v>
      </c>
      <c r="AA47" s="47">
        <f>AA40*Assumptions!$B$25*(1+Assumptions!$B$9)</f>
        <v>1.8334747617984004</v>
      </c>
      <c r="AB47" s="47">
        <f>AB40*Assumptions!$B$25*(1+Assumptions!$B$9)</f>
        <v>1.8395863443377281</v>
      </c>
      <c r="AC47" s="47">
        <f>AC40*Assumptions!$B$25*(1+Assumptions!$B$9)</f>
        <v>1.8457182988188543</v>
      </c>
      <c r="AD47" s="47">
        <f>AD40*Assumptions!$B$25*(1+Assumptions!$B$9)</f>
        <v>1.85187069314825</v>
      </c>
      <c r="AE47" s="47">
        <f>AE40*Assumptions!$B$25*(1+Assumptions!$B$9)</f>
        <v>1.8580435954587442</v>
      </c>
      <c r="AF47" s="47">
        <f>AF40*Assumptions!$B$25*(1+Assumptions!$B$9)</f>
        <v>1.8642370741102734</v>
      </c>
      <c r="AG47" s="47">
        <f>AG40*Assumptions!$B$25*(1+Assumptions!$B$9)</f>
        <v>1.8704511976906408</v>
      </c>
      <c r="AH47" s="47">
        <f>AH40*Assumptions!$B$25*(1+Assumptions!$B$9)</f>
        <v>1.8766860350162762</v>
      </c>
      <c r="AI47" s="47">
        <f>AI40*Assumptions!$B$25*(1+Assumptions!$B$9)</f>
        <v>1.8829416551329974</v>
      </c>
      <c r="AJ47" s="47">
        <f>AJ40*Assumptions!$B$25*(1+Assumptions!$B$9)</f>
        <v>1.8892181273167739</v>
      </c>
      <c r="AK47" s="47">
        <f>AK40*Assumptions!$B$25*(1+Assumptions!$B$9)</f>
        <v>1.8955155210744967</v>
      </c>
      <c r="AL47" s="17">
        <f t="shared" si="0"/>
        <v>12.497097956367394</v>
      </c>
      <c r="AM47" s="17">
        <f t="shared" si="1"/>
        <v>16.117362278777222</v>
      </c>
      <c r="AN47" s="17">
        <f t="shared" si="2"/>
        <v>22.335126787423437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 t="s">
        <v>119</v>
      </c>
      <c r="B48" s="50">
        <f t="shared" ref="B48:AK48" si="27">B43-B45-B46-B47</f>
        <v>7.7809765686646069</v>
      </c>
      <c r="C48" s="50">
        <f t="shared" si="27"/>
        <v>7.9650712886290869</v>
      </c>
      <c r="D48" s="50">
        <f t="shared" si="27"/>
        <v>8.5981487210495029</v>
      </c>
      <c r="E48" s="50">
        <f t="shared" si="27"/>
        <v>7.7625885558946672</v>
      </c>
      <c r="F48" s="50">
        <f t="shared" si="27"/>
        <v>8.6802758779711784</v>
      </c>
      <c r="G48" s="50">
        <f t="shared" si="27"/>
        <v>8.9198967217217593</v>
      </c>
      <c r="H48" s="50">
        <f t="shared" si="27"/>
        <v>9.057231292930604</v>
      </c>
      <c r="I48" s="50">
        <f t="shared" si="27"/>
        <v>9.3028256671728649</v>
      </c>
      <c r="J48" s="50">
        <f t="shared" si="27"/>
        <v>10.201957833552369</v>
      </c>
      <c r="K48" s="50">
        <f t="shared" si="27"/>
        <v>10.54629644284328</v>
      </c>
      <c r="L48" s="50">
        <f t="shared" si="27"/>
        <v>10.098777502118049</v>
      </c>
      <c r="M48" s="50">
        <f t="shared" si="27"/>
        <v>9.4661236473102441</v>
      </c>
      <c r="N48" s="50">
        <f t="shared" si="27"/>
        <v>10.082644543257521</v>
      </c>
      <c r="O48" s="50">
        <f t="shared" si="27"/>
        <v>10.011959976378495</v>
      </c>
      <c r="P48" s="50">
        <f t="shared" si="27"/>
        <v>10.570684628379665</v>
      </c>
      <c r="Q48" s="50">
        <f t="shared" si="27"/>
        <v>9.3525174877511716</v>
      </c>
      <c r="R48" s="50">
        <f t="shared" si="27"/>
        <v>10.984306089538263</v>
      </c>
      <c r="S48" s="50">
        <f t="shared" si="27"/>
        <v>10.759252505362612</v>
      </c>
      <c r="T48" s="50">
        <f t="shared" si="27"/>
        <v>11.630416511913456</v>
      </c>
      <c r="U48" s="50">
        <f t="shared" si="27"/>
        <v>11.707131024197759</v>
      </c>
      <c r="V48" s="50">
        <f t="shared" si="27"/>
        <v>12.26810147383225</v>
      </c>
      <c r="W48" s="50">
        <f t="shared" si="27"/>
        <v>12.433936406872803</v>
      </c>
      <c r="X48" s="50">
        <f t="shared" si="27"/>
        <v>12.198031539797006</v>
      </c>
      <c r="Y48" s="50">
        <f t="shared" si="27"/>
        <v>11.518571798553658</v>
      </c>
      <c r="Z48" s="50">
        <f t="shared" si="27"/>
        <v>11.039675532480004</v>
      </c>
      <c r="AA48" s="50">
        <f t="shared" si="27"/>
        <v>11.076474450921607</v>
      </c>
      <c r="AB48" s="50">
        <f t="shared" si="27"/>
        <v>11.113396032424678</v>
      </c>
      <c r="AC48" s="50">
        <f t="shared" si="27"/>
        <v>11.150440685866096</v>
      </c>
      <c r="AD48" s="50">
        <f t="shared" si="27"/>
        <v>11.187608821485638</v>
      </c>
      <c r="AE48" s="50">
        <f t="shared" si="27"/>
        <v>11.224900850890592</v>
      </c>
      <c r="AF48" s="50">
        <f t="shared" si="27"/>
        <v>11.262317187060232</v>
      </c>
      <c r="AG48" s="50">
        <f t="shared" si="27"/>
        <v>11.299858244350428</v>
      </c>
      <c r="AH48" s="50">
        <f t="shared" si="27"/>
        <v>11.337524438498267</v>
      </c>
      <c r="AI48" s="50">
        <f t="shared" si="27"/>
        <v>11.375316186626597</v>
      </c>
      <c r="AJ48" s="50">
        <f t="shared" si="27"/>
        <v>11.413233907248681</v>
      </c>
      <c r="AK48" s="50">
        <f t="shared" si="27"/>
        <v>11.451278020272847</v>
      </c>
      <c r="AL48" s="17">
        <f t="shared" si="0"/>
        <v>100.59919355119361</v>
      </c>
      <c r="AM48" s="17">
        <f t="shared" si="1"/>
        <v>133.51755398583467</v>
      </c>
      <c r="AN48" s="17">
        <f t="shared" si="2"/>
        <v>134.93202435812566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 t="s">
        <v>36</v>
      </c>
      <c r="B49" s="64">
        <f t="shared" ref="B49:AK49" si="28">IFERROR(B48/B40,0)</f>
        <v>0.27881845999532817</v>
      </c>
      <c r="C49" s="64">
        <f t="shared" si="28"/>
        <v>0.27989199872920439</v>
      </c>
      <c r="D49" s="64">
        <f t="shared" si="28"/>
        <v>0.29347541694411944</v>
      </c>
      <c r="E49" s="64">
        <f t="shared" si="28"/>
        <v>0.27233825499538206</v>
      </c>
      <c r="F49" s="64">
        <f t="shared" si="28"/>
        <v>0.29264425282341699</v>
      </c>
      <c r="G49" s="64">
        <f t="shared" si="28"/>
        <v>0.29557049958643544</v>
      </c>
      <c r="H49" s="64">
        <f t="shared" si="28"/>
        <v>0.29737906256355973</v>
      </c>
      <c r="I49" s="64">
        <f t="shared" si="28"/>
        <v>0.30027870142712076</v>
      </c>
      <c r="J49" s="64">
        <f t="shared" si="28"/>
        <v>0.31656788084326182</v>
      </c>
      <c r="K49" s="64">
        <f t="shared" si="28"/>
        <v>0.32090704180085566</v>
      </c>
      <c r="L49" s="64">
        <f t="shared" si="28"/>
        <v>0.3119622851336073</v>
      </c>
      <c r="M49" s="64">
        <f t="shared" si="28"/>
        <v>0.29669310918230629</v>
      </c>
      <c r="N49" s="64">
        <f t="shared" si="28"/>
        <v>0.29720051361502736</v>
      </c>
      <c r="O49" s="64">
        <f t="shared" si="28"/>
        <v>0.2925571218350253</v>
      </c>
      <c r="P49" s="64">
        <f t="shared" si="28"/>
        <v>0.30214803106401494</v>
      </c>
      <c r="Q49" s="64">
        <f t="shared" si="28"/>
        <v>0.2770769441456753</v>
      </c>
      <c r="R49" s="64">
        <f t="shared" si="28"/>
        <v>0.30635622426280734</v>
      </c>
      <c r="S49" s="64">
        <f t="shared" si="28"/>
        <v>0.30111514927895788</v>
      </c>
      <c r="T49" s="64">
        <f t="shared" si="28"/>
        <v>0.31455414173774104</v>
      </c>
      <c r="U49" s="64">
        <f t="shared" si="28"/>
        <v>0.31478251091404902</v>
      </c>
      <c r="V49" s="64">
        <f t="shared" si="28"/>
        <v>0.32103982046960522</v>
      </c>
      <c r="W49" s="64">
        <f t="shared" si="28"/>
        <v>0.32269052828822409</v>
      </c>
      <c r="X49" s="64">
        <f t="shared" si="28"/>
        <v>0.31768531781819664</v>
      </c>
      <c r="Y49" s="64">
        <f t="shared" si="28"/>
        <v>0.30503916486125077</v>
      </c>
      <c r="Z49" s="64">
        <f t="shared" si="28"/>
        <v>0.28544893483709283</v>
      </c>
      <c r="AA49" s="64">
        <f t="shared" si="28"/>
        <v>0.28544893483709283</v>
      </c>
      <c r="AB49" s="64">
        <f t="shared" si="28"/>
        <v>0.28544893483709283</v>
      </c>
      <c r="AC49" s="64">
        <f t="shared" si="28"/>
        <v>0.28544893483709288</v>
      </c>
      <c r="AD49" s="64">
        <f t="shared" si="28"/>
        <v>0.28544893483709266</v>
      </c>
      <c r="AE49" s="64">
        <f t="shared" si="28"/>
        <v>0.28544893483709266</v>
      </c>
      <c r="AF49" s="64">
        <f t="shared" si="28"/>
        <v>0.28544893483709277</v>
      </c>
      <c r="AG49" s="64">
        <f t="shared" si="28"/>
        <v>0.28544893483709272</v>
      </c>
      <c r="AH49" s="64">
        <f t="shared" si="28"/>
        <v>0.28544893483709283</v>
      </c>
      <c r="AI49" s="64">
        <f t="shared" si="28"/>
        <v>0.28544893483709283</v>
      </c>
      <c r="AJ49" s="64">
        <f t="shared" si="28"/>
        <v>0.28544893483709277</v>
      </c>
      <c r="AK49" s="64">
        <f t="shared" si="28"/>
        <v>0.28544893483709277</v>
      </c>
      <c r="AL49" s="17">
        <f t="shared" si="0"/>
        <v>3.2777085040292699</v>
      </c>
      <c r="AM49" s="17">
        <f t="shared" si="1"/>
        <v>3.672245468290575</v>
      </c>
      <c r="AN49" s="17">
        <f t="shared" si="2"/>
        <v>3.4253872180451137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>
        <f t="shared" si="0"/>
        <v>0</v>
      </c>
      <c r="AM50" s="17">
        <f t="shared" si="1"/>
        <v>0</v>
      </c>
      <c r="AN50" s="17">
        <f t="shared" si="2"/>
        <v>0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>
        <f t="shared" si="0"/>
        <v>0</v>
      </c>
      <c r="AM51" s="17">
        <f t="shared" si="1"/>
        <v>0</v>
      </c>
      <c r="AN51" s="17">
        <f t="shared" si="2"/>
        <v>0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62" t="s">
        <v>127</v>
      </c>
      <c r="B52" s="63">
        <f>SUMIFS(Actuals!$I$4:$I$123,Actuals!$D$4:$D$123,"Managed Services",Actuals!$A$4:$A$123,B$3)</f>
        <v>21.167585116136213</v>
      </c>
      <c r="C52" s="63">
        <v>21.413824814260497</v>
      </c>
      <c r="D52" s="63">
        <v>21.560909900891449</v>
      </c>
      <c r="E52" s="63">
        <v>21.22950722014016</v>
      </c>
      <c r="F52" s="63">
        <v>22.165481627811417</v>
      </c>
      <c r="G52" s="63">
        <v>22.895457158487403</v>
      </c>
      <c r="H52" s="63">
        <v>22.935530814827374</v>
      </c>
      <c r="I52" s="63">
        <v>23.510208131737997</v>
      </c>
      <c r="J52" s="63">
        <v>24.129191707053472</v>
      </c>
      <c r="K52" s="63">
        <v>24.466786616225523</v>
      </c>
      <c r="L52" s="63">
        <v>24.21339949423858</v>
      </c>
      <c r="M52" s="63">
        <v>24.122856620209763</v>
      </c>
      <c r="N52" s="63">
        <v>25.809211683823673</v>
      </c>
      <c r="O52" s="63">
        <v>26.184257506845682</v>
      </c>
      <c r="P52" s="63">
        <v>26.604255210018469</v>
      </c>
      <c r="Q52" s="63">
        <v>25.828816137842409</v>
      </c>
      <c r="R52" s="63">
        <v>26.868769772322228</v>
      </c>
      <c r="S52" s="63">
        <v>27.616189502082815</v>
      </c>
      <c r="T52" s="63">
        <v>27.625086995710717</v>
      </c>
      <c r="U52" s="63">
        <v>28.11301279882456</v>
      </c>
      <c r="V52" s="63">
        <v>29.294272342876379</v>
      </c>
      <c r="W52" s="63">
        <v>29.630587419560801</v>
      </c>
      <c r="X52" s="63">
        <v>29.698659041997377</v>
      </c>
      <c r="Y52" s="63">
        <v>29.134179074118141</v>
      </c>
      <c r="Z52" s="63">
        <v>29.357910036000003</v>
      </c>
      <c r="AA52" s="63">
        <v>29.455769736120001</v>
      </c>
      <c r="AB52" s="63">
        <v>29.553955635240403</v>
      </c>
      <c r="AC52" s="63">
        <v>29.652468820691197</v>
      </c>
      <c r="AD52" s="63">
        <v>29.751310383426834</v>
      </c>
      <c r="AE52" s="63">
        <v>29.850481418038264</v>
      </c>
      <c r="AF52" s="63">
        <v>29.949983022765057</v>
      </c>
      <c r="AG52" s="63">
        <v>30.049816299507611</v>
      </c>
      <c r="AH52" s="63">
        <v>30.149982353839309</v>
      </c>
      <c r="AI52" s="63">
        <v>30.250482295018763</v>
      </c>
      <c r="AJ52" s="63">
        <v>30.351317236002167</v>
      </c>
      <c r="AK52" s="63">
        <v>30.452488293455506</v>
      </c>
      <c r="AL52" s="17">
        <f t="shared" si="0"/>
        <v>252.64315410588367</v>
      </c>
      <c r="AM52" s="17">
        <f t="shared" si="1"/>
        <v>332.40729748602325</v>
      </c>
      <c r="AN52" s="17">
        <f t="shared" si="2"/>
        <v>358.82596553010512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 t="s">
        <v>113</v>
      </c>
      <c r="B53" s="47">
        <v>12.144</v>
      </c>
      <c r="C53" s="47">
        <v>12.327999999999999</v>
      </c>
      <c r="D53" s="47">
        <v>12.42</v>
      </c>
      <c r="E53" s="47">
        <v>12.603999999999999</v>
      </c>
      <c r="F53" s="47">
        <v>12.696</v>
      </c>
      <c r="G53" s="47">
        <v>12.879999999999999</v>
      </c>
      <c r="H53" s="47">
        <v>12.972</v>
      </c>
      <c r="I53" s="47">
        <v>13.156000000000001</v>
      </c>
      <c r="J53" s="47">
        <v>13.247999999999999</v>
      </c>
      <c r="K53" s="47">
        <v>13.432</v>
      </c>
      <c r="L53" s="47">
        <v>13.523999999999999</v>
      </c>
      <c r="M53" s="47">
        <v>13.708</v>
      </c>
      <c r="N53" s="47">
        <v>14.628000000000002</v>
      </c>
      <c r="O53" s="47">
        <v>14.823040000000001</v>
      </c>
      <c r="P53" s="47">
        <v>14.920560000000002</v>
      </c>
      <c r="Q53" s="47">
        <v>15.115600000000001</v>
      </c>
      <c r="R53" s="47">
        <v>15.213120000000002</v>
      </c>
      <c r="S53" s="47">
        <v>15.408160000000002</v>
      </c>
      <c r="T53" s="47">
        <v>15.505680000000002</v>
      </c>
      <c r="U53" s="47">
        <v>15.700720000000002</v>
      </c>
      <c r="V53" s="47">
        <v>15.798240000000002</v>
      </c>
      <c r="W53" s="47">
        <v>15.993280000000002</v>
      </c>
      <c r="X53" s="47">
        <v>16.188320000000001</v>
      </c>
      <c r="Y53" s="47">
        <v>16.28584</v>
      </c>
      <c r="Z53" s="47">
        <v>16.457383333333333</v>
      </c>
      <c r="AA53" s="47">
        <v>16.512241277777779</v>
      </c>
      <c r="AB53" s="47">
        <v>16.567282082037043</v>
      </c>
      <c r="AC53" s="47">
        <v>16.622506355643829</v>
      </c>
      <c r="AD53" s="47">
        <v>16.677914710162639</v>
      </c>
      <c r="AE53" s="47">
        <v>16.733507759196517</v>
      </c>
      <c r="AF53" s="47">
        <v>16.789286118393839</v>
      </c>
      <c r="AG53" s="47">
        <v>16.845250405455154</v>
      </c>
      <c r="AH53" s="47">
        <v>16.901401240140004</v>
      </c>
      <c r="AI53" s="47">
        <v>16.957739244273803</v>
      </c>
      <c r="AJ53" s="47">
        <v>17.014265041754719</v>
      </c>
      <c r="AK53" s="47">
        <v>17.07097925856057</v>
      </c>
      <c r="AL53" s="17">
        <f t="shared" si="0"/>
        <v>142.96799999999999</v>
      </c>
      <c r="AM53" s="17">
        <f t="shared" si="1"/>
        <v>185.58056000000002</v>
      </c>
      <c r="AN53" s="17">
        <f t="shared" si="2"/>
        <v>201.14975682672923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 t="s">
        <v>114</v>
      </c>
      <c r="B54" s="47">
        <v>1.7145743944070333</v>
      </c>
      <c r="C54" s="47">
        <v>1.7345198099551002</v>
      </c>
      <c r="D54" s="47">
        <v>1.7464337019722074</v>
      </c>
      <c r="E54" s="47">
        <v>1.719590084831353</v>
      </c>
      <c r="F54" s="47">
        <v>1.7954040118527248</v>
      </c>
      <c r="G54" s="47">
        <v>1.8545320298374797</v>
      </c>
      <c r="H54" s="47">
        <v>1.8577779960010172</v>
      </c>
      <c r="I54" s="47">
        <v>1.9043268586707778</v>
      </c>
      <c r="J54" s="47">
        <v>1.9544645282713313</v>
      </c>
      <c r="K54" s="47">
        <v>1.9818097159142674</v>
      </c>
      <c r="L54" s="47">
        <v>1.961285359033325</v>
      </c>
      <c r="M54" s="47">
        <v>1.9539513862369908</v>
      </c>
      <c r="N54" s="47">
        <v>2.0905461463897175</v>
      </c>
      <c r="O54" s="47">
        <v>2.1209248580545004</v>
      </c>
      <c r="P54" s="47">
        <v>2.1549446720114962</v>
      </c>
      <c r="Q54" s="47">
        <v>2.0921341071652351</v>
      </c>
      <c r="R54" s="47">
        <v>2.1763703515581003</v>
      </c>
      <c r="S54" s="47">
        <v>2.2369113496687079</v>
      </c>
      <c r="T54" s="47">
        <v>2.2376320466525681</v>
      </c>
      <c r="U54" s="47">
        <v>2.2771540367047893</v>
      </c>
      <c r="V54" s="47">
        <v>2.3728360597729869</v>
      </c>
      <c r="W54" s="47">
        <v>2.400077580984425</v>
      </c>
      <c r="X54" s="47">
        <v>2.4055913824017878</v>
      </c>
      <c r="Y54" s="47">
        <v>2.3598685050035693</v>
      </c>
      <c r="Z54" s="47">
        <v>2.2018432527000003</v>
      </c>
      <c r="AA54" s="47">
        <v>2.2091827302090001</v>
      </c>
      <c r="AB54" s="47">
        <v>2.2165466726430303</v>
      </c>
      <c r="AC54" s="47">
        <v>2.2239351615518399</v>
      </c>
      <c r="AD54" s="47">
        <v>2.2313482787570122</v>
      </c>
      <c r="AE54" s="47">
        <v>2.2387861063528698</v>
      </c>
      <c r="AF54" s="47">
        <v>2.2462487267073792</v>
      </c>
      <c r="AG54" s="47">
        <v>2.2537362224630706</v>
      </c>
      <c r="AH54" s="47">
        <v>2.261248676537948</v>
      </c>
      <c r="AI54" s="47">
        <v>2.2687861721264073</v>
      </c>
      <c r="AJ54" s="47">
        <v>2.2763487927001624</v>
      </c>
      <c r="AK54" s="47">
        <v>2.283936622009163</v>
      </c>
      <c r="AL54" s="17">
        <f t="shared" si="0"/>
        <v>20.464095482576575</v>
      </c>
      <c r="AM54" s="17">
        <f t="shared" si="1"/>
        <v>26.924991096367883</v>
      </c>
      <c r="AN54" s="17">
        <f t="shared" si="2"/>
        <v>26.911947414757883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 t="s">
        <v>115</v>
      </c>
      <c r="B55" s="50">
        <v>7.3090107217291793</v>
      </c>
      <c r="C55" s="50">
        <v>7.3513050043053978</v>
      </c>
      <c r="D55" s="50">
        <v>7.394476198919242</v>
      </c>
      <c r="E55" s="50">
        <v>6.9059171353088082</v>
      </c>
      <c r="F55" s="50">
        <v>7.6740776159586925</v>
      </c>
      <c r="G55" s="50">
        <v>8.1609251286499251</v>
      </c>
      <c r="H55" s="50">
        <v>8.1057528188263568</v>
      </c>
      <c r="I55" s="50">
        <v>8.4498812730672181</v>
      </c>
      <c r="J55" s="50">
        <v>8.9267271787821407</v>
      </c>
      <c r="K55" s="50">
        <v>9.0529769003112559</v>
      </c>
      <c r="L55" s="50">
        <v>8.7281141352052565</v>
      </c>
      <c r="M55" s="50">
        <v>8.4609052339727722</v>
      </c>
      <c r="N55" s="50">
        <v>9.0906655374339529</v>
      </c>
      <c r="O55" s="50">
        <v>9.240292648791181</v>
      </c>
      <c r="P55" s="50">
        <v>9.528750538006971</v>
      </c>
      <c r="Q55" s="50">
        <v>8.621082030677174</v>
      </c>
      <c r="R55" s="50">
        <v>9.4792794207641258</v>
      </c>
      <c r="S55" s="50">
        <v>9.971118152414105</v>
      </c>
      <c r="T55" s="50">
        <v>9.8817749490581477</v>
      </c>
      <c r="U55" s="50">
        <v>10.135138762119768</v>
      </c>
      <c r="V55" s="50">
        <v>11.12319628310339</v>
      </c>
      <c r="W55" s="50">
        <v>11.237229838576374</v>
      </c>
      <c r="X55" s="50">
        <v>11.104747659595589</v>
      </c>
      <c r="Y55" s="50">
        <v>10.488470569114572</v>
      </c>
      <c r="Z55" s="50">
        <f t="shared" ref="Z55:AK55" si="29">Z52-Z53-Z54</f>
        <v>10.698683449966671</v>
      </c>
      <c r="AA55" s="50">
        <f t="shared" si="29"/>
        <v>10.734345728133221</v>
      </c>
      <c r="AB55" s="50">
        <f t="shared" si="29"/>
        <v>10.77012688056033</v>
      </c>
      <c r="AC55" s="50">
        <f t="shared" si="29"/>
        <v>10.806027303495529</v>
      </c>
      <c r="AD55" s="50">
        <f t="shared" si="29"/>
        <v>10.842047394507182</v>
      </c>
      <c r="AE55" s="50">
        <f t="shared" si="29"/>
        <v>10.878187552488878</v>
      </c>
      <c r="AF55" s="50">
        <f t="shared" si="29"/>
        <v>10.914448177663839</v>
      </c>
      <c r="AG55" s="50">
        <f t="shared" si="29"/>
        <v>10.950829671589387</v>
      </c>
      <c r="AH55" s="50">
        <f t="shared" si="29"/>
        <v>10.987332437161358</v>
      </c>
      <c r="AI55" s="50">
        <f t="shared" si="29"/>
        <v>11.023956878618552</v>
      </c>
      <c r="AJ55" s="50">
        <f t="shared" si="29"/>
        <v>11.060703401547286</v>
      </c>
      <c r="AK55" s="50">
        <f t="shared" si="29"/>
        <v>11.097572412885773</v>
      </c>
      <c r="AL55" s="17">
        <f t="shared" si="0"/>
        <v>89.211058623307068</v>
      </c>
      <c r="AM55" s="17">
        <f t="shared" si="1"/>
        <v>119.90174638965534</v>
      </c>
      <c r="AN55" s="17">
        <f t="shared" si="2"/>
        <v>130.764261288618</v>
      </c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 t="s">
        <v>34</v>
      </c>
      <c r="B56" s="64">
        <v>0.3452926104526427</v>
      </c>
      <c r="C56" s="64">
        <v>0.34329714883115181</v>
      </c>
      <c r="D56" s="64">
        <v>0.34295752048078049</v>
      </c>
      <c r="E56" s="64">
        <v>0.32529804218711461</v>
      </c>
      <c r="F56" s="64">
        <v>0.34621749911943683</v>
      </c>
      <c r="G56" s="64">
        <v>0.35644298657843787</v>
      </c>
      <c r="H56" s="64">
        <v>0.35341465973772646</v>
      </c>
      <c r="I56" s="64">
        <v>0.35941329084450596</v>
      </c>
      <c r="J56" s="64">
        <v>0.36995549984265197</v>
      </c>
      <c r="K56" s="64">
        <v>0.37001086584486892</v>
      </c>
      <c r="L56" s="64">
        <v>0.36046628385584828</v>
      </c>
      <c r="M56" s="64">
        <v>0.35074225939246162</v>
      </c>
      <c r="N56" s="64">
        <v>0.35222561807773733</v>
      </c>
      <c r="O56" s="64">
        <v>0.35289496547211141</v>
      </c>
      <c r="P56" s="64">
        <v>0.35816640844802494</v>
      </c>
      <c r="Q56" s="64">
        <v>0.33377766850282475</v>
      </c>
      <c r="R56" s="64">
        <v>0.35279916055288918</v>
      </c>
      <c r="S56" s="64">
        <v>0.36106060728117767</v>
      </c>
      <c r="T56" s="64">
        <v>0.35771018388439713</v>
      </c>
      <c r="U56" s="64">
        <v>0.36051414462926329</v>
      </c>
      <c r="V56" s="64">
        <v>0.37970549849852364</v>
      </c>
      <c r="W56" s="64">
        <v>0.37924424782608435</v>
      </c>
      <c r="X56" s="64">
        <v>0.37391410985567319</v>
      </c>
      <c r="Y56" s="64">
        <v>0.36000570129096887</v>
      </c>
      <c r="Z56" s="64">
        <f t="shared" ref="Z56:AK56" si="30">IFERROR(Z55/Z52,0)</f>
        <v>0.36442251634559336</v>
      </c>
      <c r="AA56" s="64">
        <f t="shared" si="30"/>
        <v>0.36442251634559319</v>
      </c>
      <c r="AB56" s="64">
        <f t="shared" si="30"/>
        <v>0.36442251634559314</v>
      </c>
      <c r="AC56" s="64">
        <f t="shared" si="30"/>
        <v>0.36442251634559314</v>
      </c>
      <c r="AD56" s="64">
        <f t="shared" si="30"/>
        <v>0.36442251634559319</v>
      </c>
      <c r="AE56" s="64">
        <f t="shared" si="30"/>
        <v>0.36442251634559331</v>
      </c>
      <c r="AF56" s="64">
        <f t="shared" si="30"/>
        <v>0.36442251634559325</v>
      </c>
      <c r="AG56" s="64">
        <f t="shared" si="30"/>
        <v>0.36442251634559325</v>
      </c>
      <c r="AH56" s="64">
        <f t="shared" si="30"/>
        <v>0.36442251634559342</v>
      </c>
      <c r="AI56" s="64">
        <f t="shared" si="30"/>
        <v>0.36442251634559319</v>
      </c>
      <c r="AJ56" s="64">
        <f t="shared" si="30"/>
        <v>0.36442251634559325</v>
      </c>
      <c r="AK56" s="64">
        <f t="shared" si="30"/>
        <v>0.36442251634559314</v>
      </c>
      <c r="AL56" s="17">
        <f t="shared" si="0"/>
        <v>3.8782160567149848</v>
      </c>
      <c r="AM56" s="17">
        <f t="shared" si="1"/>
        <v>4.322018314319676</v>
      </c>
      <c r="AN56" s="17">
        <f t="shared" si="2"/>
        <v>4.3730701961471192</v>
      </c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 t="s">
        <v>116</v>
      </c>
      <c r="B57" s="47">
        <v>0.92400000000000004</v>
      </c>
      <c r="C57" s="47">
        <v>0.93800000000000006</v>
      </c>
      <c r="D57" s="47">
        <v>0.94500000000000006</v>
      </c>
      <c r="E57" s="47">
        <v>0.95900000000000007</v>
      </c>
      <c r="F57" s="47">
        <v>0.96599999999999997</v>
      </c>
      <c r="G57" s="47">
        <v>0.98</v>
      </c>
      <c r="H57" s="47">
        <v>0.98699999999999999</v>
      </c>
      <c r="I57" s="47">
        <v>1.0010000000000001</v>
      </c>
      <c r="J57" s="47">
        <v>1.008</v>
      </c>
      <c r="K57" s="47">
        <v>1.022</v>
      </c>
      <c r="L57" s="47">
        <v>1.0289999999999999</v>
      </c>
      <c r="M57" s="47">
        <v>1.0429999999999999</v>
      </c>
      <c r="N57" s="47">
        <v>1.1025</v>
      </c>
      <c r="O57" s="47">
        <v>1.1172000000000002</v>
      </c>
      <c r="P57" s="47">
        <v>1.1245499999999999</v>
      </c>
      <c r="Q57" s="47">
        <v>1.1392500000000001</v>
      </c>
      <c r="R57" s="47">
        <v>1.1466000000000001</v>
      </c>
      <c r="S57" s="47">
        <v>1.1613000000000002</v>
      </c>
      <c r="T57" s="47">
        <v>1.16865</v>
      </c>
      <c r="U57" s="47">
        <v>1.1833500000000001</v>
      </c>
      <c r="V57" s="47">
        <v>1.1907000000000001</v>
      </c>
      <c r="W57" s="47">
        <v>1.2054000000000002</v>
      </c>
      <c r="X57" s="47">
        <v>1.2201</v>
      </c>
      <c r="Y57" s="47">
        <v>1.2274500000000002</v>
      </c>
      <c r="Z57" s="47">
        <v>1.3041700000000001</v>
      </c>
      <c r="AA57" s="47">
        <v>1.3085172333333333</v>
      </c>
      <c r="AB57" s="47">
        <v>1.3128789574444448</v>
      </c>
      <c r="AC57" s="47">
        <v>1.3172552206359258</v>
      </c>
      <c r="AD57" s="47">
        <v>1.3216460713713789</v>
      </c>
      <c r="AE57" s="47">
        <v>1.3260515582759502</v>
      </c>
      <c r="AF57" s="47">
        <v>1.3304717301368703</v>
      </c>
      <c r="AG57" s="47">
        <v>1.3349066359039934</v>
      </c>
      <c r="AH57" s="47">
        <v>1.3393563246903399</v>
      </c>
      <c r="AI57" s="47">
        <v>1.343820845772641</v>
      </c>
      <c r="AJ57" s="47">
        <v>1.3483002485918834</v>
      </c>
      <c r="AK57" s="47">
        <v>1.3527945827538561</v>
      </c>
      <c r="AL57" s="17">
        <f t="shared" si="0"/>
        <v>10.878</v>
      </c>
      <c r="AM57" s="17">
        <f t="shared" si="1"/>
        <v>13.987050000000004</v>
      </c>
      <c r="AN57" s="17">
        <f t="shared" si="2"/>
        <v>15.940169408910617</v>
      </c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 t="s">
        <v>117</v>
      </c>
      <c r="B58" s="47">
        <f>SUMIFS(Actuals!$M$4:$M$123,Actuals!$D$4:$D$123,"Managed Services",Actuals!$A$4:$A$123,B$3)</f>
        <v>0.72599999999999998</v>
      </c>
      <c r="C58" s="47">
        <v>0.73699999999999999</v>
      </c>
      <c r="D58" s="47">
        <v>0.74249999999999994</v>
      </c>
      <c r="E58" s="47">
        <v>0.75349999999999995</v>
      </c>
      <c r="F58" s="47">
        <v>0.75900000000000001</v>
      </c>
      <c r="G58" s="47">
        <v>0.76999999999999991</v>
      </c>
      <c r="H58" s="47">
        <v>0.77549999999999997</v>
      </c>
      <c r="I58" s="47">
        <v>0.78649999999999998</v>
      </c>
      <c r="J58" s="47">
        <v>0.79199999999999993</v>
      </c>
      <c r="K58" s="47">
        <v>0.80299999999999994</v>
      </c>
      <c r="L58" s="47">
        <v>0.8085</v>
      </c>
      <c r="M58" s="47">
        <v>0.81950000000000001</v>
      </c>
      <c r="N58" s="47">
        <v>0.82499999999999996</v>
      </c>
      <c r="O58" s="47">
        <v>0.83599999999999997</v>
      </c>
      <c r="P58" s="47">
        <v>0.84149999999999991</v>
      </c>
      <c r="Q58" s="47">
        <v>0.85249999999999992</v>
      </c>
      <c r="R58" s="47">
        <v>0.85799999999999998</v>
      </c>
      <c r="S58" s="47">
        <v>0.86899999999999999</v>
      </c>
      <c r="T58" s="47">
        <v>0.87449999999999994</v>
      </c>
      <c r="U58" s="47">
        <v>0.88549999999999995</v>
      </c>
      <c r="V58" s="47">
        <v>0.8909999999999999</v>
      </c>
      <c r="W58" s="47">
        <v>0.90199999999999991</v>
      </c>
      <c r="X58" s="47">
        <v>0.91299999999999992</v>
      </c>
      <c r="Y58" s="47">
        <v>0.91849999999999998</v>
      </c>
      <c r="Z58" s="47">
        <v>0.97812750000000004</v>
      </c>
      <c r="AA58" s="47">
        <v>0.98138792500000005</v>
      </c>
      <c r="AB58" s="47">
        <v>0.98465921808333357</v>
      </c>
      <c r="AC58" s="47">
        <v>0.98794141547694447</v>
      </c>
      <c r="AD58" s="47">
        <v>0.99123455352853418</v>
      </c>
      <c r="AE58" s="47">
        <v>0.99453866870696273</v>
      </c>
      <c r="AF58" s="47">
        <v>0.99785379760265269</v>
      </c>
      <c r="AG58" s="47">
        <v>1.001179976927995</v>
      </c>
      <c r="AH58" s="47">
        <v>1.004517243517755</v>
      </c>
      <c r="AI58" s="47">
        <v>1.0078656343294807</v>
      </c>
      <c r="AJ58" s="47">
        <v>1.0112251864439123</v>
      </c>
      <c r="AK58" s="47">
        <v>1.0145959370653921</v>
      </c>
      <c r="AL58" s="17">
        <f t="shared" si="0"/>
        <v>8.5469999999999988</v>
      </c>
      <c r="AM58" s="17">
        <f t="shared" si="1"/>
        <v>10.4665</v>
      </c>
      <c r="AN58" s="17">
        <f t="shared" si="2"/>
        <v>11.955127056682963</v>
      </c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 t="s">
        <v>123</v>
      </c>
      <c r="B59" s="47">
        <v>0.76203306418090366</v>
      </c>
      <c r="C59" s="47">
        <v>0.83513916775615937</v>
      </c>
      <c r="D59" s="47">
        <v>0.84087548613476648</v>
      </c>
      <c r="E59" s="47">
        <v>0.76426225992504571</v>
      </c>
      <c r="F59" s="47">
        <v>0.7979573386012111</v>
      </c>
      <c r="G59" s="47">
        <v>0.82423645770554654</v>
      </c>
      <c r="H59" s="47">
        <v>0.82567910933378541</v>
      </c>
      <c r="I59" s="47">
        <v>0.84636749274256795</v>
      </c>
      <c r="J59" s="47">
        <v>0.94103847657508544</v>
      </c>
      <c r="K59" s="47">
        <v>0.95420467803279529</v>
      </c>
      <c r="L59" s="47">
        <v>0.87168238179258895</v>
      </c>
      <c r="M59" s="47">
        <v>0.86842283832755152</v>
      </c>
      <c r="N59" s="47">
        <v>0.92913162061765231</v>
      </c>
      <c r="O59" s="47">
        <v>1.0211860427669817</v>
      </c>
      <c r="P59" s="47">
        <v>1.0375659531907202</v>
      </c>
      <c r="Q59" s="47">
        <v>0.92983738096232671</v>
      </c>
      <c r="R59" s="47">
        <v>0.96727571180360028</v>
      </c>
      <c r="S59" s="47">
        <v>0.99418282207498132</v>
      </c>
      <c r="T59" s="47">
        <v>0.99450313184558592</v>
      </c>
      <c r="U59" s="47">
        <v>1.0120684607576842</v>
      </c>
      <c r="V59" s="47">
        <v>1.1424766213721789</v>
      </c>
      <c r="W59" s="47">
        <v>1.1555929093628712</v>
      </c>
      <c r="X59" s="47">
        <v>1.0691517255119056</v>
      </c>
      <c r="Y59" s="47">
        <v>1.0488304466682532</v>
      </c>
      <c r="Z59" s="47">
        <v>1.3871612492010001</v>
      </c>
      <c r="AA59" s="47">
        <v>1.39178512003167</v>
      </c>
      <c r="AB59" s="47">
        <v>1.396424403765109</v>
      </c>
      <c r="AC59" s="47">
        <v>1.4010791517776593</v>
      </c>
      <c r="AD59" s="47">
        <v>1.4057494156169179</v>
      </c>
      <c r="AE59" s="47">
        <v>1.410435247002308</v>
      </c>
      <c r="AF59" s="47">
        <v>1.4151366978256488</v>
      </c>
      <c r="AG59" s="47">
        <v>1.4198538201517348</v>
      </c>
      <c r="AH59" s="47">
        <v>1.4245866662189073</v>
      </c>
      <c r="AI59" s="47">
        <v>1.4293352884396366</v>
      </c>
      <c r="AJ59" s="47">
        <v>1.4340997394011024</v>
      </c>
      <c r="AK59" s="47">
        <v>1.4388800718657726</v>
      </c>
      <c r="AL59" s="17">
        <f t="shared" si="0"/>
        <v>9.3698656869271044</v>
      </c>
      <c r="AM59" s="17">
        <f t="shared" si="1"/>
        <v>12.301802826934743</v>
      </c>
      <c r="AN59" s="17">
        <f t="shared" si="2"/>
        <v>16.954526871297464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 t="s">
        <v>119</v>
      </c>
      <c r="B60" s="50">
        <v>4.8969776575482751</v>
      </c>
      <c r="C60" s="50">
        <v>4.8411658365492389</v>
      </c>
      <c r="D60" s="50">
        <v>4.8661007127844753</v>
      </c>
      <c r="E60" s="50">
        <v>4.4291548753837633</v>
      </c>
      <c r="F60" s="50">
        <v>5.1511202773574807</v>
      </c>
      <c r="G60" s="50">
        <v>5.5866886709443788</v>
      </c>
      <c r="H60" s="50">
        <v>5.517573709492571</v>
      </c>
      <c r="I60" s="50">
        <v>5.8160137803246492</v>
      </c>
      <c r="J60" s="50">
        <v>6.1856887022070559</v>
      </c>
      <c r="K60" s="50">
        <v>6.2737722222784607</v>
      </c>
      <c r="L60" s="50">
        <v>6.0189317534126676</v>
      </c>
      <c r="M60" s="50">
        <v>5.7299823956452212</v>
      </c>
      <c r="N60" s="50">
        <v>6.2340339168163004</v>
      </c>
      <c r="O60" s="50">
        <v>6.265906606024199</v>
      </c>
      <c r="P60" s="50">
        <v>6.5251345848162519</v>
      </c>
      <c r="Q60" s="50">
        <v>5.6994946497148469</v>
      </c>
      <c r="R60" s="50">
        <v>6.5074037089605268</v>
      </c>
      <c r="S60" s="50">
        <v>6.9466353303391237</v>
      </c>
      <c r="T60" s="50">
        <v>6.844121817212562</v>
      </c>
      <c r="U60" s="50">
        <v>7.0542203013620828</v>
      </c>
      <c r="V60" s="50">
        <v>7.8990196617312112</v>
      </c>
      <c r="W60" s="50">
        <v>7.974236929213502</v>
      </c>
      <c r="X60" s="50">
        <v>7.9024959340836824</v>
      </c>
      <c r="Y60" s="50">
        <v>7.2936901224463178</v>
      </c>
      <c r="Z60" s="50">
        <f t="shared" ref="Z60:AK60" si="31">Z55-Z57-Z58-Z59</f>
        <v>7.0292247007656705</v>
      </c>
      <c r="AA60" s="50">
        <f t="shared" si="31"/>
        <v>7.052655449768217</v>
      </c>
      <c r="AB60" s="50">
        <f t="shared" si="31"/>
        <v>7.0761643012674424</v>
      </c>
      <c r="AC60" s="50">
        <f t="shared" si="31"/>
        <v>7.0997515156050008</v>
      </c>
      <c r="AD60" s="50">
        <f t="shared" si="31"/>
        <v>7.1234173539903507</v>
      </c>
      <c r="AE60" s="50">
        <f t="shared" si="31"/>
        <v>7.1471620785036585</v>
      </c>
      <c r="AF60" s="50">
        <f t="shared" si="31"/>
        <v>7.1709859520986665</v>
      </c>
      <c r="AG60" s="50">
        <f t="shared" si="31"/>
        <v>7.1948892386056649</v>
      </c>
      <c r="AH60" s="50">
        <f t="shared" si="31"/>
        <v>7.2188722027343548</v>
      </c>
      <c r="AI60" s="50">
        <f t="shared" si="31"/>
        <v>7.2429351100767949</v>
      </c>
      <c r="AJ60" s="50">
        <f t="shared" si="31"/>
        <v>7.2670782271103889</v>
      </c>
      <c r="AK60" s="50">
        <f t="shared" si="31"/>
        <v>7.2913018212007508</v>
      </c>
      <c r="AL60" s="17">
        <f t="shared" si="0"/>
        <v>60.416192936379957</v>
      </c>
      <c r="AM60" s="17">
        <f t="shared" si="1"/>
        <v>83.146393562720618</v>
      </c>
      <c r="AN60" s="17">
        <f t="shared" si="2"/>
        <v>85.914437951726967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 t="s">
        <v>36</v>
      </c>
      <c r="B61" s="64">
        <v>0.23134323687283873</v>
      </c>
      <c r="C61" s="64">
        <v>0.22607665274842789</v>
      </c>
      <c r="D61" s="64">
        <v>0.2256908792417561</v>
      </c>
      <c r="E61" s="64">
        <v>0.20863201531036393</v>
      </c>
      <c r="F61" s="64">
        <v>0.23239378976066463</v>
      </c>
      <c r="G61" s="64">
        <v>0.24400860975485608</v>
      </c>
      <c r="H61" s="64">
        <v>0.24056882546296104</v>
      </c>
      <c r="I61" s="64">
        <v>0.24738248797011816</v>
      </c>
      <c r="J61" s="64">
        <v>0.2563570623212732</v>
      </c>
      <c r="K61" s="64">
        <v>0.25641995087813912</v>
      </c>
      <c r="L61" s="64">
        <v>0.24857855068408849</v>
      </c>
      <c r="M61" s="64">
        <v>0.23753332724469825</v>
      </c>
      <c r="N61" s="64">
        <v>0.24154298059105689</v>
      </c>
      <c r="O61" s="64">
        <v>0.23930052644746652</v>
      </c>
      <c r="P61" s="64">
        <v>0.2452665760911456</v>
      </c>
      <c r="Q61" s="64">
        <v>0.22066418450222278</v>
      </c>
      <c r="R61" s="64">
        <v>0.24219209752073817</v>
      </c>
      <c r="S61" s="64">
        <v>0.25154213726029101</v>
      </c>
      <c r="T61" s="64">
        <v>0.24775023580107577</v>
      </c>
      <c r="U61" s="64">
        <v>0.25092366840373043</v>
      </c>
      <c r="V61" s="64">
        <v>0.26964382556687916</v>
      </c>
      <c r="W61" s="64">
        <v>0.2691217968884837</v>
      </c>
      <c r="X61" s="64">
        <v>0.26608931813751691</v>
      </c>
      <c r="Y61" s="64">
        <v>0.25034822858371852</v>
      </c>
      <c r="Z61" s="64">
        <f t="shared" ref="Z61:AK61" si="32">IFERROR(Z60/Z52,0)</f>
        <v>0.2394320539897464</v>
      </c>
      <c r="AA61" s="64">
        <f t="shared" si="32"/>
        <v>0.23943205398974624</v>
      </c>
      <c r="AB61" s="64">
        <f t="shared" si="32"/>
        <v>0.23943205398974615</v>
      </c>
      <c r="AC61" s="64">
        <f t="shared" si="32"/>
        <v>0.23943205398974621</v>
      </c>
      <c r="AD61" s="64">
        <f t="shared" si="32"/>
        <v>0.23943205398974621</v>
      </c>
      <c r="AE61" s="64">
        <f t="shared" si="32"/>
        <v>0.23943205398974637</v>
      </c>
      <c r="AF61" s="64">
        <f t="shared" si="32"/>
        <v>0.23943205398974624</v>
      </c>
      <c r="AG61" s="64">
        <f t="shared" si="32"/>
        <v>0.23943205398974629</v>
      </c>
      <c r="AH61" s="64">
        <f t="shared" si="32"/>
        <v>0.2394320539897464</v>
      </c>
      <c r="AI61" s="64">
        <f t="shared" si="32"/>
        <v>0.23943205398974624</v>
      </c>
      <c r="AJ61" s="64">
        <f t="shared" si="32"/>
        <v>0.23943205398974632</v>
      </c>
      <c r="AK61" s="64">
        <f t="shared" si="32"/>
        <v>0.23943205398974612</v>
      </c>
      <c r="AL61" s="17">
        <f t="shared" si="0"/>
        <v>2.6236421513773469</v>
      </c>
      <c r="AM61" s="17">
        <f t="shared" si="1"/>
        <v>2.994385575794325</v>
      </c>
      <c r="AN61" s="17">
        <f t="shared" si="2"/>
        <v>2.8731846478769554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>
        <f t="shared" ref="Z62:AK62" si="33">Z56/Z8</f>
        <v>0.86602454614313551</v>
      </c>
      <c r="AA62" s="17">
        <f t="shared" si="33"/>
        <v>0.86602454614313518</v>
      </c>
      <c r="AB62" s="17">
        <f t="shared" si="33"/>
        <v>0.8660245461431354</v>
      </c>
      <c r="AC62" s="17">
        <f t="shared" si="33"/>
        <v>0.86602454614313484</v>
      </c>
      <c r="AD62" s="17">
        <f t="shared" si="33"/>
        <v>0.86602454614313518</v>
      </c>
      <c r="AE62" s="17">
        <f t="shared" si="33"/>
        <v>0.8660245461431354</v>
      </c>
      <c r="AF62" s="17">
        <f t="shared" si="33"/>
        <v>0.8660245461431354</v>
      </c>
      <c r="AG62" s="17">
        <f t="shared" si="33"/>
        <v>0.86602454614313529</v>
      </c>
      <c r="AH62" s="17">
        <f t="shared" si="33"/>
        <v>0.86602454614313562</v>
      </c>
      <c r="AI62" s="17">
        <f t="shared" si="33"/>
        <v>0.86602454614313507</v>
      </c>
      <c r="AJ62" s="17">
        <f t="shared" si="33"/>
        <v>0.8660245461431354</v>
      </c>
      <c r="AK62" s="17">
        <f t="shared" si="33"/>
        <v>0.86602454614313495</v>
      </c>
      <c r="AL62" s="17">
        <f t="shared" si="0"/>
        <v>0</v>
      </c>
      <c r="AM62" s="17">
        <f t="shared" si="1"/>
        <v>0</v>
      </c>
      <c r="AN62" s="17">
        <f t="shared" si="2"/>
        <v>10.392294553717624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>
        <f t="shared" ref="Z63:AK63" si="34">Z57/Z9</f>
        <v>0.85517241379310349</v>
      </c>
      <c r="AA63" s="17">
        <f t="shared" si="34"/>
        <v>0.85517241379310327</v>
      </c>
      <c r="AB63" s="17">
        <f t="shared" si="34"/>
        <v>0.85517241379310371</v>
      </c>
      <c r="AC63" s="17">
        <f t="shared" si="34"/>
        <v>0.8551724137931036</v>
      </c>
      <c r="AD63" s="17">
        <f t="shared" si="34"/>
        <v>0.85517241379310382</v>
      </c>
      <c r="AE63" s="17">
        <f t="shared" si="34"/>
        <v>0.85517241379310371</v>
      </c>
      <c r="AF63" s="17">
        <f t="shared" si="34"/>
        <v>0.85517241379310371</v>
      </c>
      <c r="AG63" s="17">
        <f t="shared" si="34"/>
        <v>0.85517241379310405</v>
      </c>
      <c r="AH63" s="17">
        <f t="shared" si="34"/>
        <v>0.85517241379310382</v>
      </c>
      <c r="AI63" s="17">
        <f t="shared" si="34"/>
        <v>0.85517241379310394</v>
      </c>
      <c r="AJ63" s="17">
        <f t="shared" si="34"/>
        <v>0.85517241379310405</v>
      </c>
      <c r="AK63" s="17">
        <f t="shared" si="34"/>
        <v>0.85517241379310394</v>
      </c>
      <c r="AL63" s="17">
        <f t="shared" si="0"/>
        <v>0</v>
      </c>
      <c r="AM63" s="17">
        <f t="shared" si="1"/>
        <v>0</v>
      </c>
      <c r="AN63" s="17">
        <f t="shared" si="2"/>
        <v>10.262068965517246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A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00"/>
  <sheetViews>
    <sheetView showGridLines="0" workbookViewId="0">
      <pane ySplit="3" topLeftCell="A4" activePane="bottomLeft" state="frozen"/>
      <selection pane="bottomLeft" sqref="A1:I1"/>
    </sheetView>
  </sheetViews>
  <sheetFormatPr defaultRowHeight="14.4"/>
  <cols>
    <col min="1" max="1" width="12" style="18" bestFit="1" customWidth="1"/>
    <col min="2" max="2" width="12.19921875" style="18" customWidth="1"/>
    <col min="3" max="3" width="13.19921875" style="18" customWidth="1"/>
    <col min="4" max="4" width="9.3984375" style="18" customWidth="1"/>
    <col min="5" max="5" width="11.19921875" style="18" customWidth="1"/>
    <col min="6" max="6" width="9.296875" style="18" customWidth="1"/>
    <col min="7" max="7" width="10.296875" style="18" customWidth="1"/>
    <col min="8" max="8" width="6.59765625" style="18" customWidth="1"/>
    <col min="9" max="9" width="8.296875" style="18" customWidth="1"/>
    <col min="10" max="10" width="11.59765625" style="18" customWidth="1"/>
    <col min="11" max="11" width="12.59765625" style="18" customWidth="1"/>
    <col min="12" max="12" width="8.796875" style="18" customWidth="1"/>
    <col min="13" max="13" width="10.59765625" style="18" customWidth="1"/>
    <col min="14" max="16384" width="8.796875" style="18"/>
  </cols>
  <sheetData>
    <row r="1" spans="1:52" ht="24" customHeight="1">
      <c r="A1" s="43" t="s">
        <v>128</v>
      </c>
      <c r="B1" s="44"/>
      <c r="C1" s="44"/>
      <c r="D1" s="44"/>
      <c r="E1" s="44"/>
      <c r="F1" s="44"/>
      <c r="G1" s="44"/>
      <c r="H1" s="44"/>
      <c r="I1" s="44"/>
      <c r="J1" s="51"/>
      <c r="K1" s="51"/>
      <c r="L1" s="51"/>
      <c r="M1" s="51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 t="s">
        <v>87</v>
      </c>
      <c r="B2" s="45" t="str">
        <f>Assumptions!B3</f>
        <v>Base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16</v>
      </c>
      <c r="B3" s="22" t="s">
        <v>129</v>
      </c>
      <c r="C3" s="22" t="s">
        <v>130</v>
      </c>
      <c r="D3" s="22" t="s">
        <v>131</v>
      </c>
      <c r="E3" s="22" t="s">
        <v>132</v>
      </c>
      <c r="F3" s="22" t="s">
        <v>133</v>
      </c>
      <c r="G3" s="22" t="s">
        <v>134</v>
      </c>
      <c r="H3" s="22" t="s">
        <v>135</v>
      </c>
      <c r="I3" s="22" t="s">
        <v>136</v>
      </c>
      <c r="J3" s="22" t="s">
        <v>137</v>
      </c>
      <c r="K3" s="22" t="s">
        <v>138</v>
      </c>
      <c r="L3" s="22" t="s">
        <v>139</v>
      </c>
      <c r="M3" s="22" t="s">
        <v>140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46">
        <v>46388</v>
      </c>
      <c r="B4" s="47">
        <f>SUM('Budget 2027'!K4:K8)</f>
        <v>160.98470910240002</v>
      </c>
      <c r="C4" s="47">
        <f>'P&amp;L'!Z4</f>
        <v>166.38459504799999</v>
      </c>
      <c r="D4" s="50">
        <f t="shared" ref="D4:D15" si="0">C4-B4</f>
        <v>5.3998859455999764</v>
      </c>
      <c r="E4" s="64">
        <f t="shared" ref="E4:E15" si="1">IFERROR(D4/B4,0)</f>
        <v>3.3542849974435698E-2</v>
      </c>
      <c r="F4" s="47">
        <f>SUM('Budget 2027'!P4:P8)</f>
        <v>113.49836444367232</v>
      </c>
      <c r="G4" s="47">
        <f>'Opex Forecast'!I4</f>
        <v>115.20511132795136</v>
      </c>
      <c r="H4" s="50">
        <f>G4-F4</f>
        <v>1.7067468842790419</v>
      </c>
      <c r="I4" s="64">
        <f t="shared" ref="I4:I15" si="2">IFERROR(H4/F4,0)</f>
        <v>1.503763417776894E-2</v>
      </c>
      <c r="J4" s="47">
        <f>SUM('Budget 2027'!Q4:Q8)</f>
        <v>47.486344658727674</v>
      </c>
      <c r="K4" s="47">
        <f>'P&amp;L'!Z12</f>
        <v>51.179483720048644</v>
      </c>
      <c r="L4" s="50">
        <f t="shared" ref="L4:L15" si="3">K4-J4</f>
        <v>3.69313906132097</v>
      </c>
      <c r="M4" s="64">
        <f t="shared" ref="M4:M15" si="4">IFERROR(L4/J4,0)</f>
        <v>7.7772654178008951E-2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46">
        <v>46419</v>
      </c>
      <c r="B5" s="47">
        <f>SUM('Budget 2027'!K9:K13)</f>
        <v>161.25301695090397</v>
      </c>
      <c r="C5" s="47">
        <f>'P&amp;L'!AA4</f>
        <v>166.93921036482666</v>
      </c>
      <c r="D5" s="50">
        <f t="shared" si="0"/>
        <v>5.6861934139226946</v>
      </c>
      <c r="E5" s="64">
        <f t="shared" si="1"/>
        <v>3.5262555215658048E-2</v>
      </c>
      <c r="F5" s="47">
        <v>113.68752838441179</v>
      </c>
      <c r="G5" s="47">
        <f>'Opex Forecast'!I5</f>
        <v>115.58912836571116</v>
      </c>
      <c r="H5" s="50">
        <f t="shared" ref="H5:H15" si="5">G5-F5</f>
        <v>1.9015999812993698</v>
      </c>
      <c r="I5" s="64">
        <f t="shared" si="2"/>
        <v>1.6726548710510155E-2</v>
      </c>
      <c r="J5" s="47">
        <f>SUM('Budget 2027'!Q9:Q13)</f>
        <v>47.56548856649222</v>
      </c>
      <c r="K5" s="47">
        <f>'P&amp;L'!AA12</f>
        <v>51.350081999115503</v>
      </c>
      <c r="L5" s="50">
        <f t="shared" si="3"/>
        <v>3.7845934326232822</v>
      </c>
      <c r="M5" s="64">
        <f t="shared" si="4"/>
        <v>7.9565953103430551E-2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46">
        <v>46447</v>
      </c>
      <c r="B6" s="47">
        <f>SUM('Budget 2027'!K14:K18)</f>
        <v>161.52177197915552</v>
      </c>
      <c r="C6" s="47">
        <f>'P&amp;L'!AB4</f>
        <v>167.49567439937607</v>
      </c>
      <c r="D6" s="50">
        <f t="shared" si="0"/>
        <v>5.9739024202205542</v>
      </c>
      <c r="E6" s="64">
        <f t="shared" si="1"/>
        <v>3.6985121863271103E-2</v>
      </c>
      <c r="F6" s="47">
        <v>113.8770075983858</v>
      </c>
      <c r="G6" s="47">
        <f>'Opex Forecast'!I6</f>
        <v>115.97442546026355</v>
      </c>
      <c r="H6" s="50">
        <f t="shared" si="5"/>
        <v>2.0974178618777444</v>
      </c>
      <c r="I6" s="64">
        <f t="shared" si="2"/>
        <v>1.8418273417183426E-2</v>
      </c>
      <c r="J6" s="47">
        <f>SUM('Budget 2027'!Q14:Q18)</f>
        <v>47.644764380769701</v>
      </c>
      <c r="K6" s="47">
        <f>'P&amp;L'!AB12</f>
        <v>51.521248939112525</v>
      </c>
      <c r="L6" s="50">
        <f t="shared" si="3"/>
        <v>3.876484558342824</v>
      </c>
      <c r="M6" s="64">
        <f t="shared" si="4"/>
        <v>8.1362235887296033E-2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46">
        <v>46478</v>
      </c>
      <c r="B7" s="47">
        <f>SUM('Budget 2027'!K19:K23)</f>
        <v>161.79097493245408</v>
      </c>
      <c r="C7" s="47">
        <f>'P&amp;L'!AC4</f>
        <v>168.05399331404067</v>
      </c>
      <c r="D7" s="50">
        <f t="shared" si="0"/>
        <v>6.2630183815865905</v>
      </c>
      <c r="E7" s="64">
        <f t="shared" si="1"/>
        <v>3.8710554678351689E-2</v>
      </c>
      <c r="F7" s="47">
        <v>114.06680261104978</v>
      </c>
      <c r="G7" s="47">
        <f>'Opex Forecast'!I7</f>
        <v>116.36100687846442</v>
      </c>
      <c r="H7" s="50">
        <f t="shared" si="5"/>
        <v>2.2942042674146421</v>
      </c>
      <c r="I7" s="64">
        <f t="shared" si="2"/>
        <v>2.0112812973617968E-2</v>
      </c>
      <c r="J7" s="47">
        <f>SUM('Budget 2027'!Q19:Q23)</f>
        <v>47.724172321404325</v>
      </c>
      <c r="K7" s="47">
        <f>'P&amp;L'!AC12</f>
        <v>51.692986435576245</v>
      </c>
      <c r="L7" s="50">
        <f t="shared" si="3"/>
        <v>3.96881411417192</v>
      </c>
      <c r="M7" s="64">
        <f t="shared" si="4"/>
        <v>8.3161507494429701E-2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46">
        <v>46508</v>
      </c>
      <c r="B8" s="47">
        <f>SUM('Budget 2027'!K24:K28)</f>
        <v>162.06062655734155</v>
      </c>
      <c r="C8" s="47">
        <f>'P&amp;L'!AD4</f>
        <v>168.61417329175413</v>
      </c>
      <c r="D8" s="50">
        <f t="shared" si="0"/>
        <v>6.5535467344125777</v>
      </c>
      <c r="E8" s="64">
        <f t="shared" si="1"/>
        <v>4.0438858429895995E-2</v>
      </c>
      <c r="F8" s="47">
        <v>114.25691394873485</v>
      </c>
      <c r="G8" s="47">
        <f>'Opex Forecast'!I8</f>
        <v>116.74887690139263</v>
      </c>
      <c r="H8" s="50">
        <f t="shared" si="5"/>
        <v>2.4919629526577864</v>
      </c>
      <c r="I8" s="64">
        <f t="shared" si="2"/>
        <v>2.1810172063424435E-2</v>
      </c>
      <c r="J8" s="47">
        <f>SUM('Budget 2027'!Q24:Q28)</f>
        <v>47.803712608606673</v>
      </c>
      <c r="K8" s="47">
        <f>'P&amp;L'!AD12</f>
        <v>51.865296390361507</v>
      </c>
      <c r="L8" s="50">
        <f t="shared" si="3"/>
        <v>4.0615837817548339</v>
      </c>
      <c r="M8" s="64">
        <f t="shared" si="4"/>
        <v>8.4963772897914597E-2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46">
        <v>46539</v>
      </c>
      <c r="B9" s="47">
        <f>SUM('Budget 2027'!K29:K33)</f>
        <v>162.33072760160377</v>
      </c>
      <c r="C9" s="47">
        <f>'P&amp;L'!AE4</f>
        <v>169.17622053605999</v>
      </c>
      <c r="D9" s="50">
        <f t="shared" si="0"/>
        <v>6.8454929344562174</v>
      </c>
      <c r="E9" s="64">
        <f t="shared" si="1"/>
        <v>4.2170037894837767E-2</v>
      </c>
      <c r="F9" s="47">
        <v>114.4473421386494</v>
      </c>
      <c r="G9" s="47">
        <f>'Opex Forecast'!I9</f>
        <v>117.13803982439728</v>
      </c>
      <c r="H9" s="50">
        <f t="shared" si="5"/>
        <v>2.6906976857478782</v>
      </c>
      <c r="I9" s="64">
        <f t="shared" si="2"/>
        <v>2.3510355378005908E-2</v>
      </c>
      <c r="J9" s="47">
        <f>SUM('Budget 2027'!Q29:Q33)</f>
        <v>47.883385462954358</v>
      </c>
      <c r="K9" s="47">
        <f>'P&amp;L'!AE12</f>
        <v>52.038180711662712</v>
      </c>
      <c r="L9" s="50">
        <f t="shared" si="3"/>
        <v>4.1547952487083535</v>
      </c>
      <c r="M9" s="64">
        <f t="shared" si="4"/>
        <v>8.6769037079108963E-2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46">
        <v>46569</v>
      </c>
      <c r="B10" s="47">
        <f>SUM('Budget 2027'!K34:K38)</f>
        <v>162.60127881427309</v>
      </c>
      <c r="C10" s="47">
        <f>'P&amp;L'!AF4</f>
        <v>169.74014127118016</v>
      </c>
      <c r="D10" s="50">
        <f t="shared" si="0"/>
        <v>7.1388624569070771</v>
      </c>
      <c r="E10" s="64">
        <f t="shared" si="1"/>
        <v>4.3904097858057128E-2</v>
      </c>
      <c r="F10" s="47">
        <v>114.63808770888049</v>
      </c>
      <c r="G10" s="47">
        <f>'Opex Forecast'!I10</f>
        <v>117.52849995714527</v>
      </c>
      <c r="H10" s="50">
        <f t="shared" si="5"/>
        <v>2.8904122482647807</v>
      </c>
      <c r="I10" s="64">
        <f t="shared" si="2"/>
        <v>2.5213367616571589E-2</v>
      </c>
      <c r="J10" s="47">
        <f>SUM('Budget 2027'!Q34:Q38)</f>
        <v>47.963191105392596</v>
      </c>
      <c r="K10" s="47">
        <f>'P&amp;L'!AF12</f>
        <v>52.211641314034885</v>
      </c>
      <c r="L10" s="50">
        <f t="shared" si="3"/>
        <v>4.2484502086422893</v>
      </c>
      <c r="M10" s="64">
        <f t="shared" si="4"/>
        <v>8.8577305027659592E-2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46">
        <v>46600</v>
      </c>
      <c r="B11" s="47">
        <f>SUM('Budget 2027'!K39:K43)</f>
        <v>162.87228094563019</v>
      </c>
      <c r="C11" s="47">
        <f>'P&amp;L'!AG4</f>
        <v>170.30594174208409</v>
      </c>
      <c r="D11" s="50">
        <f t="shared" si="0"/>
        <v>7.4336607964538928</v>
      </c>
      <c r="E11" s="64">
        <f t="shared" si="1"/>
        <v>4.5641043112396681E-2</v>
      </c>
      <c r="F11" s="47">
        <v>114.82915118839529</v>
      </c>
      <c r="G11" s="47">
        <f>'Opex Forecast'!I11</f>
        <v>117.92026162366906</v>
      </c>
      <c r="H11" s="50">
        <f t="shared" si="5"/>
        <v>3.0911104352737766</v>
      </c>
      <c r="I11" s="64">
        <f t="shared" si="2"/>
        <v>2.6919213486149729E-2</v>
      </c>
      <c r="J11" s="47">
        <f>SUM('Budget 2027'!Q39:Q43)</f>
        <v>48.043129757234901</v>
      </c>
      <c r="K11" s="47">
        <f>'P&amp;L'!AG12</f>
        <v>52.38568011841501</v>
      </c>
      <c r="L11" s="50">
        <f t="shared" si="3"/>
        <v>4.3425503611801091</v>
      </c>
      <c r="M11" s="64">
        <f t="shared" si="4"/>
        <v>9.0388581741516469E-2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46">
        <v>46631</v>
      </c>
      <c r="B12" s="47">
        <f>SUM('Budget 2027'!K44:K48)</f>
        <v>163.14373474720628</v>
      </c>
      <c r="C12" s="47">
        <f>'P&amp;L'!AH4</f>
        <v>170.87362821455773</v>
      </c>
      <c r="D12" s="50">
        <f t="shared" si="0"/>
        <v>7.7298934673514452</v>
      </c>
      <c r="E12" s="64">
        <f t="shared" si="1"/>
        <v>4.7380878458673475E-2</v>
      </c>
      <c r="F12" s="47">
        <v>115.0205331070426</v>
      </c>
      <c r="G12" s="47">
        <f>'Opex Forecast'!I12</f>
        <v>118.31332916241465</v>
      </c>
      <c r="H12" s="50">
        <f t="shared" si="5"/>
        <v>3.292796055372051</v>
      </c>
      <c r="I12" s="64">
        <f t="shared" si="2"/>
        <v>2.8627897701601214E-2</v>
      </c>
      <c r="J12" s="47">
        <f>SUM('Budget 2027'!Q44:Q48)</f>
        <v>48.123201640163643</v>
      </c>
      <c r="K12" s="47">
        <f>'P&amp;L'!AH12</f>
        <v>52.560299052143087</v>
      </c>
      <c r="L12" s="50">
        <f t="shared" si="3"/>
        <v>4.437097411979444</v>
      </c>
      <c r="M12" s="64">
        <f t="shared" si="4"/>
        <v>9.2202872226943455E-2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46">
        <v>46661</v>
      </c>
      <c r="B13" s="47">
        <f>SUM('Budget 2027'!K49:K53)</f>
        <v>163.41564097178497</v>
      </c>
      <c r="C13" s="47">
        <f>'P&amp;L'!AI4</f>
        <v>171.44320697527294</v>
      </c>
      <c r="D13" s="50">
        <f t="shared" si="0"/>
        <v>8.0275660034879763</v>
      </c>
      <c r="E13" s="64">
        <f t="shared" si="1"/>
        <v>4.9123608705692989E-2</v>
      </c>
      <c r="F13" s="47">
        <v>115.21223399555437</v>
      </c>
      <c r="G13" s="47">
        <f>'Opex Forecast'!I13</f>
        <v>118.70770692628935</v>
      </c>
      <c r="H13" s="50">
        <f t="shared" si="5"/>
        <v>3.4954729307349766</v>
      </c>
      <c r="I13" s="64">
        <f t="shared" si="2"/>
        <v>3.0339424985630036E-2</v>
      </c>
      <c r="J13" s="47">
        <f>SUM('Budget 2027'!Q49:Q53)</f>
        <v>48.203406976230596</v>
      </c>
      <c r="K13" s="47">
        <f>'P&amp;L'!AI12</f>
        <v>52.735500048983589</v>
      </c>
      <c r="L13" s="50">
        <f t="shared" si="3"/>
        <v>4.5320930727529927</v>
      </c>
      <c r="M13" s="64">
        <f t="shared" si="4"/>
        <v>9.4020181498535915E-2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46">
        <v>46692</v>
      </c>
      <c r="B14" s="47">
        <f>SUM('Budget 2027'!K54:K58)</f>
        <v>163.68800037340458</v>
      </c>
      <c r="C14" s="47">
        <f>'P&amp;L'!AJ4</f>
        <v>172.01468433185715</v>
      </c>
      <c r="D14" s="50">
        <f t="shared" si="0"/>
        <v>8.3266839584525769</v>
      </c>
      <c r="E14" s="64">
        <f t="shared" si="1"/>
        <v>5.0869238670261538E-2</v>
      </c>
      <c r="F14" s="47">
        <v>115.40425438554695</v>
      </c>
      <c r="G14" s="47">
        <f>'Opex Forecast'!I14</f>
        <v>119.10339928271031</v>
      </c>
      <c r="H14" s="50">
        <f t="shared" si="5"/>
        <v>3.6991448971633645</v>
      </c>
      <c r="I14" s="64">
        <f t="shared" si="2"/>
        <v>3.2053800068800924E-2</v>
      </c>
      <c r="J14" s="47">
        <f>SUM('Budget 2027'!Q54:Q58)</f>
        <v>48.283745987857621</v>
      </c>
      <c r="K14" s="47">
        <f>'P&amp;L'!AJ12</f>
        <v>52.911285049146841</v>
      </c>
      <c r="L14" s="50">
        <f t="shared" si="3"/>
        <v>4.6275390612892195</v>
      </c>
      <c r="M14" s="64">
        <f t="shared" si="4"/>
        <v>9.5840514579232344E-2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46">
        <v>46722</v>
      </c>
      <c r="B15" s="47">
        <f>SUM('Budget 2027'!K59:K63)</f>
        <v>163.96081370736027</v>
      </c>
      <c r="C15" s="47">
        <f>'P&amp;L'!AK4</f>
        <v>172.58806661296339</v>
      </c>
      <c r="D15" s="50">
        <f t="shared" si="0"/>
        <v>8.6272529056031146</v>
      </c>
      <c r="E15" s="64">
        <f t="shared" si="1"/>
        <v>5.2617773177200532E-2</v>
      </c>
      <c r="F15" s="47">
        <v>115.59659480952287</v>
      </c>
      <c r="G15" s="47">
        <f>'Opex Forecast'!I15</f>
        <v>119.50041061365272</v>
      </c>
      <c r="H15" s="50">
        <f t="shared" si="5"/>
        <v>3.9038158041298487</v>
      </c>
      <c r="I15" s="64">
        <f t="shared" si="2"/>
        <v>3.3771027689547928E-2</v>
      </c>
      <c r="J15" s="47">
        <f>SUM('Budget 2027'!Q59:Q63)</f>
        <v>48.364218897837389</v>
      </c>
      <c r="K15" s="47">
        <f>'P&amp;L'!AK12</f>
        <v>53.087655999310684</v>
      </c>
      <c r="L15" s="50">
        <f t="shared" si="3"/>
        <v>4.7234371014732943</v>
      </c>
      <c r="M15" s="64">
        <f t="shared" si="4"/>
        <v>9.7663876500329524E-2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I1"/>
  </mergeCells>
  <conditionalFormatting sqref="D4:D15">
    <cfRule type="expression" dxfId="5" priority="2">
      <formula>D4&lt;0</formula>
    </cfRule>
    <cfRule type="cellIs" dxfId="4" priority="3" operator="lessThan">
      <formula>0</formula>
    </cfRule>
  </conditionalFormatting>
  <conditionalFormatting sqref="H4:H15">
    <cfRule type="expression" dxfId="3" priority="1">
      <formula>H4&lt;0</formula>
    </cfRule>
  </conditionalFormatting>
  <conditionalFormatting sqref="L4:L15">
    <cfRule type="cellIs" dxfId="2" priority="4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200"/>
  <sheetViews>
    <sheetView showGridLines="0" workbookViewId="0">
      <selection sqref="A1:F1"/>
    </sheetView>
  </sheetViews>
  <sheetFormatPr defaultRowHeight="14.4"/>
  <cols>
    <col min="1" max="1" width="28" style="18" customWidth="1"/>
    <col min="2" max="2" width="13.3984375" style="18" customWidth="1"/>
    <col min="3" max="3" width="14.19921875" style="18" customWidth="1"/>
    <col min="4" max="4" width="11.09765625" style="18" customWidth="1"/>
    <col min="5" max="5" width="14.09765625" style="18" customWidth="1"/>
    <col min="6" max="6" width="13.69921875" style="18" customWidth="1"/>
    <col min="7" max="16384" width="8.796875" style="18"/>
  </cols>
  <sheetData>
    <row r="1" spans="1:52" ht="24" customHeight="1">
      <c r="A1" s="43" t="s">
        <v>141</v>
      </c>
      <c r="B1" s="44"/>
      <c r="C1" s="44"/>
      <c r="D1" s="44"/>
      <c r="E1" s="44"/>
      <c r="F1" s="44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142</v>
      </c>
      <c r="B3" s="22" t="s">
        <v>64</v>
      </c>
      <c r="C3" s="22" t="s">
        <v>67</v>
      </c>
      <c r="D3" s="22" t="s">
        <v>69</v>
      </c>
      <c r="E3" s="22" t="s">
        <v>70</v>
      </c>
      <c r="F3" s="22" t="s">
        <v>71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17" t="s">
        <v>58</v>
      </c>
      <c r="B4" s="65">
        <v>0</v>
      </c>
      <c r="C4" s="65">
        <v>0.05</v>
      </c>
      <c r="D4" s="65">
        <v>0.06</v>
      </c>
      <c r="E4" s="65">
        <v>0.05</v>
      </c>
      <c r="F4" s="65">
        <v>0.04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17" t="s">
        <v>143</v>
      </c>
      <c r="B5" s="65">
        <v>0.04</v>
      </c>
      <c r="C5" s="65">
        <v>0.08</v>
      </c>
      <c r="D5" s="65">
        <v>0.06</v>
      </c>
      <c r="E5" s="65">
        <v>0.04</v>
      </c>
      <c r="F5" s="65">
        <v>0.08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17" t="s">
        <v>144</v>
      </c>
      <c r="B6" s="65">
        <v>-0.06</v>
      </c>
      <c r="C6" s="65">
        <v>0.02</v>
      </c>
      <c r="D6" s="65">
        <v>7.0000000000000007E-2</v>
      </c>
      <c r="E6" s="65">
        <v>0.08</v>
      </c>
      <c r="F6" s="65">
        <v>-0.02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62" t="s">
        <v>63</v>
      </c>
      <c r="B8" s="62"/>
      <c r="C8" s="62"/>
      <c r="D8" s="62"/>
      <c r="E8" s="62"/>
      <c r="F8" s="62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66" t="s">
        <v>145</v>
      </c>
      <c r="B9" s="66"/>
      <c r="C9" s="66"/>
      <c r="D9" s="66"/>
      <c r="E9" s="66"/>
      <c r="F9" s="6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200"/>
  <sheetViews>
    <sheetView showGridLines="0" workbookViewId="0">
      <pane ySplit="3" topLeftCell="A4" activePane="bottomLeft" state="frozen"/>
      <selection pane="bottomLeft" sqref="A1:C1"/>
    </sheetView>
  </sheetViews>
  <sheetFormatPr defaultRowHeight="14.4"/>
  <cols>
    <col min="1" max="1" width="11.3984375" style="18" customWidth="1"/>
    <col min="2" max="2" width="26" style="18" customWidth="1"/>
    <col min="3" max="3" width="9.09765625" style="18" customWidth="1"/>
    <col min="4" max="4" width="8.8984375" style="18" customWidth="1"/>
    <col min="5" max="5" width="6.19921875" style="18" customWidth="1"/>
    <col min="6" max="6" width="8.3984375" style="18" customWidth="1"/>
    <col min="7" max="7" width="8.8984375" style="18" customWidth="1"/>
    <col min="8" max="8" width="8.296875" style="18" customWidth="1"/>
    <col min="9" max="9" width="7.59765625" style="18" customWidth="1"/>
    <col min="10" max="10" width="8.69921875" style="18" customWidth="1"/>
    <col min="11" max="11" width="10.3984375" style="18" customWidth="1"/>
    <col min="12" max="12" width="11.3984375" style="18" customWidth="1"/>
    <col min="13" max="13" width="15.19921875" style="18" customWidth="1"/>
    <col min="14" max="14" width="18.59765625" style="18" customWidth="1"/>
    <col min="15" max="15" width="12.296875" style="18" customWidth="1"/>
    <col min="16" max="16" width="11.3984375" style="18" customWidth="1"/>
    <col min="17" max="17" width="9.796875" style="18" customWidth="1"/>
    <col min="18" max="16384" width="8.796875" style="18"/>
  </cols>
  <sheetData>
    <row r="1" spans="1:52" ht="24" customHeight="1">
      <c r="A1" s="67" t="s">
        <v>146</v>
      </c>
      <c r="B1" s="67"/>
      <c r="C1" s="67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16</v>
      </c>
      <c r="B3" s="22" t="s">
        <v>19</v>
      </c>
      <c r="C3" s="22" t="s">
        <v>72</v>
      </c>
      <c r="D3" s="22" t="s">
        <v>96</v>
      </c>
      <c r="E3" s="22" t="s">
        <v>97</v>
      </c>
      <c r="F3" s="22" t="s">
        <v>98</v>
      </c>
      <c r="G3" s="22" t="s">
        <v>99</v>
      </c>
      <c r="H3" s="22" t="s">
        <v>21</v>
      </c>
      <c r="I3" s="22" t="s">
        <v>147</v>
      </c>
      <c r="J3" s="22" t="s">
        <v>148</v>
      </c>
      <c r="K3" s="22" t="s">
        <v>24</v>
      </c>
      <c r="L3" s="22" t="s">
        <v>106</v>
      </c>
      <c r="M3" s="22" t="s">
        <v>105</v>
      </c>
      <c r="N3" s="22" t="s">
        <v>149</v>
      </c>
      <c r="O3" s="22" t="s">
        <v>31</v>
      </c>
      <c r="P3" s="22" t="s">
        <v>32</v>
      </c>
      <c r="Q3" s="22" t="s">
        <v>35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46">
        <v>46388</v>
      </c>
      <c r="B4" s="17" t="s">
        <v>38</v>
      </c>
      <c r="C4" s="47">
        <f>Assumptions!B13</f>
        <v>145</v>
      </c>
      <c r="D4" s="47">
        <f>C4*(Assumptions!$B$29+Assumptions!$B$28)/12</f>
        <v>1.4500000000000002</v>
      </c>
      <c r="E4" s="47">
        <f>C4*Assumptions!$B$29/12</f>
        <v>1.2083333333333333</v>
      </c>
      <c r="F4" s="50">
        <f t="shared" ref="F4:F35" si="0">C4+D4-E4</f>
        <v>145.24166666666665</v>
      </c>
      <c r="G4" s="50">
        <f t="shared" ref="G4:G35" si="1">(C4+F4)/2</f>
        <v>145.12083333333334</v>
      </c>
      <c r="H4" s="47">
        <f>G4*Assumptions!C13</f>
        <v>118.99908333333333</v>
      </c>
      <c r="I4" s="48">
        <f>MAX(0,MIN(0.95,Assumptions!D13+Assumptions!$B$30))</f>
        <v>0.77</v>
      </c>
      <c r="J4" s="49">
        <f>Assumptions!E13*(1+Assumptions!$B$31)</f>
        <v>2317.5</v>
      </c>
      <c r="K4" s="47">
        <f>H4*I4*Assumptions!$B$21*J4/1000000</f>
        <v>33.976142277000001</v>
      </c>
      <c r="L4" s="47">
        <f>G4*Assumptions!F13*(1+Assumptions!$B$32)</f>
        <v>17.523340624999999</v>
      </c>
      <c r="M4" s="47">
        <f>K4*Assumptions!$B$34</f>
        <v>2.5482106707750001</v>
      </c>
      <c r="N4" s="47">
        <f>G4*(Assumptions!G13*(1+Assumptions!$B$33)+Assumptions!$B$35*(1+Assumptions!$B$33))</f>
        <v>2.4148106666666669</v>
      </c>
      <c r="O4" s="47">
        <f>K4*Assumptions!$B$36*(1+Assumptions!$B$33)</f>
        <v>1.5900834585636001</v>
      </c>
      <c r="P4" s="50">
        <f t="shared" ref="P4:P35" si="2">SUM(L4:O4)</f>
        <v>24.076445421005268</v>
      </c>
      <c r="Q4" s="50">
        <f t="shared" ref="Q4:Q35" si="3">K4-P4</f>
        <v>9.8996968559947334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46">
        <v>46388</v>
      </c>
      <c r="B5" s="17" t="s">
        <v>39</v>
      </c>
      <c r="C5" s="47">
        <f>Assumptions!B14</f>
        <v>125</v>
      </c>
      <c r="D5" s="47">
        <f>C5*(Assumptions!$B$29+Assumptions!$B$28)/12</f>
        <v>1.2500000000000002</v>
      </c>
      <c r="E5" s="47">
        <f>C5*Assumptions!$B$29/12</f>
        <v>1.0416666666666667</v>
      </c>
      <c r="F5" s="50">
        <f t="shared" si="0"/>
        <v>125.20833333333333</v>
      </c>
      <c r="G5" s="50">
        <f t="shared" si="1"/>
        <v>125.10416666666666</v>
      </c>
      <c r="H5" s="47">
        <f>G5*Assumptions!C14</f>
        <v>105.08749999999999</v>
      </c>
      <c r="I5" s="48">
        <f>MAX(0,MIN(0.95,Assumptions!D14+Assumptions!$B$30))</f>
        <v>0.79</v>
      </c>
      <c r="J5" s="49">
        <f>Assumptions!E14*(1+Assumptions!$B$31)</f>
        <v>2472</v>
      </c>
      <c r="K5" s="47">
        <f>H5*I5*Assumptions!$B$21*J5/1000000</f>
        <v>32.835724320000004</v>
      </c>
      <c r="L5" s="47">
        <f>G5*Assumptions!F14*(1+Assumptions!$B$32)</f>
        <v>15.763124999999999</v>
      </c>
      <c r="M5" s="47">
        <f>K5*Assumptions!$B$34</f>
        <v>2.4626793240000002</v>
      </c>
      <c r="N5" s="47">
        <f>G5*(Assumptions!G14*(1+Assumptions!$B$33)+Assumptions!$B$35*(1+Assumptions!$B$33))</f>
        <v>2.2118416666666665</v>
      </c>
      <c r="O5" s="47">
        <f>K5*Assumptions!$B$36*(1+Assumptions!$B$33)</f>
        <v>1.5367118981760002</v>
      </c>
      <c r="P5" s="50">
        <f t="shared" si="2"/>
        <v>21.974357888842668</v>
      </c>
      <c r="Q5" s="50">
        <f t="shared" si="3"/>
        <v>10.861366431157336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46">
        <v>46388</v>
      </c>
      <c r="B6" s="17" t="s">
        <v>40</v>
      </c>
      <c r="C6" s="47">
        <f>Assumptions!B15</f>
        <v>95</v>
      </c>
      <c r="D6" s="47">
        <f>C6*(Assumptions!$B$29+Assumptions!$B$28)/12</f>
        <v>0.95000000000000007</v>
      </c>
      <c r="E6" s="47">
        <f>C6*Assumptions!$B$29/12</f>
        <v>0.79166666666666663</v>
      </c>
      <c r="F6" s="50">
        <f t="shared" si="0"/>
        <v>95.158333333333331</v>
      </c>
      <c r="G6" s="50">
        <f t="shared" si="1"/>
        <v>95.079166666666666</v>
      </c>
      <c r="H6" s="47">
        <f>G6*Assumptions!C15</f>
        <v>81.768083333333337</v>
      </c>
      <c r="I6" s="48">
        <f>MAX(0,MIN(0.95,Assumptions!D15+Assumptions!$B$30))</f>
        <v>0.80999999999999994</v>
      </c>
      <c r="J6" s="49">
        <f>Assumptions!E15*(1+Assumptions!$B$31)</f>
        <v>2678</v>
      </c>
      <c r="K6" s="47">
        <f>H6*I6*Assumptions!$B$21*J6/1000000</f>
        <v>28.379150560799996</v>
      </c>
      <c r="L6" s="47">
        <f>G6*Assumptions!F15*(1+Assumptions!$B$32)</f>
        <v>12.978306250000001</v>
      </c>
      <c r="M6" s="47">
        <f>K6*Assumptions!$B$34</f>
        <v>2.1284362920599995</v>
      </c>
      <c r="N6" s="47">
        <f>G6*(Assumptions!G15*(1+Assumptions!$B$33)+Assumptions!$B$35*(1+Assumptions!$B$33))</f>
        <v>1.779882</v>
      </c>
      <c r="O6" s="47">
        <f>K6*Assumptions!$B$36*(1+Assumptions!$B$33)</f>
        <v>1.3281442462454398</v>
      </c>
      <c r="P6" s="50">
        <f t="shared" si="2"/>
        <v>18.214768788305442</v>
      </c>
      <c r="Q6" s="50">
        <f t="shared" si="3"/>
        <v>10.164381772494554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46">
        <v>46388</v>
      </c>
      <c r="B7" s="17" t="s">
        <v>41</v>
      </c>
      <c r="C7" s="47">
        <f>Assumptions!B16</f>
        <v>180</v>
      </c>
      <c r="D7" s="47">
        <f>C7*(Assumptions!$B$29+Assumptions!$B$28)/12</f>
        <v>1.8</v>
      </c>
      <c r="E7" s="47">
        <f>C7*Assumptions!$B$29/12</f>
        <v>1.5</v>
      </c>
      <c r="F7" s="50">
        <f t="shared" si="0"/>
        <v>180.3</v>
      </c>
      <c r="G7" s="50">
        <f t="shared" si="1"/>
        <v>180.15</v>
      </c>
      <c r="H7" s="47">
        <f>G7*Assumptions!C16</f>
        <v>144.12</v>
      </c>
      <c r="I7" s="48">
        <f>MAX(0,MIN(0.95,Assumptions!D16+Assumptions!$B$30))</f>
        <v>0.75</v>
      </c>
      <c r="J7" s="49">
        <f>Assumptions!E16*(1+Assumptions!$B$31)</f>
        <v>2163</v>
      </c>
      <c r="K7" s="47">
        <f>H7*I7*Assumptions!$B$21*J7/1000000</f>
        <v>37.407787200000001</v>
      </c>
      <c r="L7" s="47">
        <f>G7*Assumptions!F16*(1+Assumptions!$B$32)</f>
        <v>19.861537500000001</v>
      </c>
      <c r="M7" s="47">
        <f>K7*Assumptions!$B$34</f>
        <v>2.8055840399999998</v>
      </c>
      <c r="N7" s="47">
        <f>G7*(Assumptions!G16*(1+Assumptions!$B$33)+Assumptions!$B$35*(1+Assumptions!$B$33))</f>
        <v>2.8103400000000001</v>
      </c>
      <c r="O7" s="47">
        <f>K7*Assumptions!$B$36*(1+Assumptions!$B$33)</f>
        <v>1.75068444096</v>
      </c>
      <c r="P7" s="50">
        <f t="shared" si="2"/>
        <v>27.228145980960001</v>
      </c>
      <c r="Q7" s="50">
        <f t="shared" si="3"/>
        <v>10.179641219040001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46">
        <v>46388</v>
      </c>
      <c r="B8" s="17" t="s">
        <v>42</v>
      </c>
      <c r="C8" s="47">
        <f>Assumptions!B17</f>
        <v>155</v>
      </c>
      <c r="D8" s="47">
        <f>C8*(Assumptions!$B$29+Assumptions!$B$28)/12</f>
        <v>1.55</v>
      </c>
      <c r="E8" s="47">
        <f>C8*Assumptions!$B$29/12</f>
        <v>1.2916666666666667</v>
      </c>
      <c r="F8" s="50">
        <f t="shared" si="0"/>
        <v>155.25833333333335</v>
      </c>
      <c r="G8" s="50">
        <f t="shared" si="1"/>
        <v>155.12916666666666</v>
      </c>
      <c r="H8" s="47">
        <f>G8*Assumptions!C17</f>
        <v>121.00075</v>
      </c>
      <c r="I8" s="48">
        <f>MAX(0,MIN(0.95,Assumptions!D17+Assumptions!$B$30))</f>
        <v>0.73</v>
      </c>
      <c r="J8" s="49">
        <f>Assumptions!E17*(1+Assumptions!$B$31)</f>
        <v>2008.5</v>
      </c>
      <c r="K8" s="47">
        <f>H8*I8*Assumptions!$B$21*J8/1000000</f>
        <v>28.385904744599998</v>
      </c>
      <c r="L8" s="47">
        <f>G8*Assumptions!F17*(1+Assumptions!$B$32)</f>
        <v>16.288562500000001</v>
      </c>
      <c r="M8" s="47">
        <f>K8*Assumptions!$B$34</f>
        <v>2.1289428558449996</v>
      </c>
      <c r="N8" s="47">
        <f>G8*(Assumptions!G17*(1+Assumptions!$B$33)+Assumptions!$B$35*(1+Assumptions!$B$33))</f>
        <v>2.2586806666666668</v>
      </c>
      <c r="O8" s="47">
        <f>K8*Assumptions!$B$36*(1+Assumptions!$B$33)</f>
        <v>1.3284603420472798</v>
      </c>
      <c r="P8" s="50">
        <f t="shared" si="2"/>
        <v>22.004646364558948</v>
      </c>
      <c r="Q8" s="50">
        <f t="shared" si="3"/>
        <v>6.3812583800410501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46">
        <v>46419</v>
      </c>
      <c r="B9" s="17" t="s">
        <v>38</v>
      </c>
      <c r="C9" s="50">
        <f t="shared" ref="C9:C40" si="4">F4</f>
        <v>145.24166666666665</v>
      </c>
      <c r="D9" s="47">
        <f>C9*(Assumptions!$B$29+Assumptions!$B$28)/12</f>
        <v>1.4524166666666665</v>
      </c>
      <c r="E9" s="47">
        <f>C9*Assumptions!$B$29/12</f>
        <v>1.2103472222222222</v>
      </c>
      <c r="F9" s="50">
        <f t="shared" si="0"/>
        <v>145.48373611111109</v>
      </c>
      <c r="G9" s="50">
        <f t="shared" si="1"/>
        <v>145.36270138888887</v>
      </c>
      <c r="H9" s="47">
        <f>G9*Assumptions!C13</f>
        <v>119.19741513888886</v>
      </c>
      <c r="I9" s="48">
        <f>MAX(0,MIN(0.95,Assumptions!D13+Assumptions!$B$30))</f>
        <v>0.77</v>
      </c>
      <c r="J9" s="49">
        <f>Assumptions!E13*(1+Assumptions!$B$31)</f>
        <v>2317.5</v>
      </c>
      <c r="K9" s="47">
        <f>H9*I9*Assumptions!$B$21*J9/1000000</f>
        <v>34.032769180794993</v>
      </c>
      <c r="L9" s="47">
        <f>G9*Assumptions!F13*(1+Assumptions!$B$32)</f>
        <v>17.552546192708334</v>
      </c>
      <c r="M9" s="47">
        <f>K9*Assumptions!$B$34</f>
        <v>2.5524576885596244</v>
      </c>
      <c r="N9" s="47">
        <f>G9*(Assumptions!G13*(1+Assumptions!$B$33)+Assumptions!$B$35*(1+Assumptions!$B$33))</f>
        <v>2.4188353511111109</v>
      </c>
      <c r="O9" s="47">
        <f>K9*Assumptions!$B$36*(1+Assumptions!$B$33)</f>
        <v>1.5927335976612056</v>
      </c>
      <c r="P9" s="50">
        <f t="shared" si="2"/>
        <v>24.116572830040273</v>
      </c>
      <c r="Q9" s="50">
        <f t="shared" si="3"/>
        <v>9.9161963507547206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46">
        <v>46419</v>
      </c>
      <c r="B10" s="17" t="s">
        <v>39</v>
      </c>
      <c r="C10" s="50">
        <f t="shared" si="4"/>
        <v>125.20833333333333</v>
      </c>
      <c r="D10" s="47">
        <f>C10*(Assumptions!$B$29+Assumptions!$B$28)/12</f>
        <v>1.2520833333333334</v>
      </c>
      <c r="E10" s="47">
        <f>C10*Assumptions!$B$29/12</f>
        <v>1.0434027777777779</v>
      </c>
      <c r="F10" s="50">
        <f t="shared" si="0"/>
        <v>125.41701388888889</v>
      </c>
      <c r="G10" s="50">
        <f t="shared" si="1"/>
        <v>125.31267361111111</v>
      </c>
      <c r="H10" s="47">
        <f>G10*Assumptions!C14</f>
        <v>105.26264583333332</v>
      </c>
      <c r="I10" s="48">
        <f>MAX(0,MIN(0.95,Assumptions!D14+Assumptions!$B$30))</f>
        <v>0.79</v>
      </c>
      <c r="J10" s="49">
        <f>Assumptions!E14*(1+Assumptions!$B$31)</f>
        <v>2472</v>
      </c>
      <c r="K10" s="47">
        <f>H10*I10*Assumptions!$B$21*J10/1000000</f>
        <v>32.890450527199995</v>
      </c>
      <c r="L10" s="47">
        <f>G10*Assumptions!F14*(1+Assumptions!$B$32)</f>
        <v>15.789396875</v>
      </c>
      <c r="M10" s="47">
        <f>K10*Assumptions!$B$34</f>
        <v>2.4667837895399995</v>
      </c>
      <c r="N10" s="47">
        <f>G10*(Assumptions!G14*(1+Assumptions!$B$33)+Assumptions!$B$35*(1+Assumptions!$B$33))</f>
        <v>2.2155280694444444</v>
      </c>
      <c r="O10" s="47">
        <f>K10*Assumptions!$B$36*(1+Assumptions!$B$33)</f>
        <v>1.5392730846729596</v>
      </c>
      <c r="P10" s="50">
        <f t="shared" si="2"/>
        <v>22.010981818657406</v>
      </c>
      <c r="Q10" s="50">
        <f t="shared" si="3"/>
        <v>10.879468708542589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46">
        <v>46419</v>
      </c>
      <c r="B11" s="17" t="s">
        <v>40</v>
      </c>
      <c r="C11" s="50">
        <f t="shared" si="4"/>
        <v>95.158333333333331</v>
      </c>
      <c r="D11" s="47">
        <f>C11*(Assumptions!$B$29+Assumptions!$B$28)/12</f>
        <v>0.95158333333333334</v>
      </c>
      <c r="E11" s="47">
        <f>C11*Assumptions!$B$29/12</f>
        <v>0.79298611111111106</v>
      </c>
      <c r="F11" s="50">
        <f t="shared" si="0"/>
        <v>95.316930555555558</v>
      </c>
      <c r="G11" s="50">
        <f t="shared" si="1"/>
        <v>95.237631944444445</v>
      </c>
      <c r="H11" s="47">
        <f>G11*Assumptions!C15</f>
        <v>81.904363472222215</v>
      </c>
      <c r="I11" s="48">
        <f>MAX(0,MIN(0.95,Assumptions!D15+Assumptions!$B$30))</f>
        <v>0.80999999999999994</v>
      </c>
      <c r="J11" s="49">
        <f>Assumptions!E15*(1+Assumptions!$B$31)</f>
        <v>2678</v>
      </c>
      <c r="K11" s="47">
        <f>H11*I11*Assumptions!$B$21*J11/1000000</f>
        <v>28.426449145067995</v>
      </c>
      <c r="L11" s="47">
        <f>G11*Assumptions!F15*(1+Assumptions!$B$32)</f>
        <v>12.999936760416668</v>
      </c>
      <c r="M11" s="47">
        <f>K11*Assumptions!$B$34</f>
        <v>2.1319836858800993</v>
      </c>
      <c r="N11" s="47">
        <f>G11*(Assumptions!G15*(1+Assumptions!$B$33)+Assumptions!$B$35*(1+Assumptions!$B$33))</f>
        <v>1.78284847</v>
      </c>
      <c r="O11" s="47">
        <f>K11*Assumptions!$B$36*(1+Assumptions!$B$33)</f>
        <v>1.3303578199891821</v>
      </c>
      <c r="P11" s="50">
        <f t="shared" si="2"/>
        <v>18.24512673628595</v>
      </c>
      <c r="Q11" s="50">
        <f t="shared" si="3"/>
        <v>10.181322408782044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46">
        <v>46419</v>
      </c>
      <c r="B12" s="17" t="s">
        <v>41</v>
      </c>
      <c r="C12" s="50">
        <f t="shared" si="4"/>
        <v>180.3</v>
      </c>
      <c r="D12" s="47">
        <f>C12*(Assumptions!$B$29+Assumptions!$B$28)/12</f>
        <v>1.8030000000000002</v>
      </c>
      <c r="E12" s="47">
        <f>C12*Assumptions!$B$29/12</f>
        <v>1.5025000000000002</v>
      </c>
      <c r="F12" s="50">
        <f t="shared" si="0"/>
        <v>180.60050000000001</v>
      </c>
      <c r="G12" s="50">
        <f t="shared" si="1"/>
        <v>180.45025000000001</v>
      </c>
      <c r="H12" s="47">
        <f>G12*Assumptions!C16</f>
        <v>144.36020000000002</v>
      </c>
      <c r="I12" s="48">
        <f>MAX(0,MIN(0.95,Assumptions!D16+Assumptions!$B$30))</f>
        <v>0.75</v>
      </c>
      <c r="J12" s="49">
        <f>Assumptions!E16*(1+Assumptions!$B$31)</f>
        <v>2163</v>
      </c>
      <c r="K12" s="47">
        <f>H12*I12*Assumptions!$B$21*J12/1000000</f>
        <v>37.470133512000004</v>
      </c>
      <c r="L12" s="47">
        <f>G12*Assumptions!F16*(1+Assumptions!$B$32)</f>
        <v>19.894640062500002</v>
      </c>
      <c r="M12" s="47">
        <f>K12*Assumptions!$B$34</f>
        <v>2.8102600134000002</v>
      </c>
      <c r="N12" s="47">
        <f>G12*(Assumptions!G16*(1+Assumptions!$B$33)+Assumptions!$B$35*(1+Assumptions!$B$33))</f>
        <v>2.8150239000000004</v>
      </c>
      <c r="O12" s="47">
        <f>K12*Assumptions!$B$36*(1+Assumptions!$B$33)</f>
        <v>1.7536022483616003</v>
      </c>
      <c r="P12" s="50">
        <f t="shared" si="2"/>
        <v>27.273526224261602</v>
      </c>
      <c r="Q12" s="50">
        <f t="shared" si="3"/>
        <v>10.196607287738402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46">
        <v>46419</v>
      </c>
      <c r="B13" s="17" t="s">
        <v>42</v>
      </c>
      <c r="C13" s="50">
        <f t="shared" si="4"/>
        <v>155.25833333333335</v>
      </c>
      <c r="D13" s="47">
        <f>C13*(Assumptions!$B$29+Assumptions!$B$28)/12</f>
        <v>1.5525833333333336</v>
      </c>
      <c r="E13" s="47">
        <f>C13*Assumptions!$B$29/12</f>
        <v>1.2938194444444446</v>
      </c>
      <c r="F13" s="50">
        <f t="shared" si="0"/>
        <v>155.51709722222225</v>
      </c>
      <c r="G13" s="50">
        <f t="shared" si="1"/>
        <v>155.3877152777778</v>
      </c>
      <c r="H13" s="47">
        <f>G13*Assumptions!C17</f>
        <v>121.20241791666669</v>
      </c>
      <c r="I13" s="48">
        <f>MAX(0,MIN(0.95,Assumptions!D17+Assumptions!$B$30))</f>
        <v>0.73</v>
      </c>
      <c r="J13" s="49">
        <f>Assumptions!E17*(1+Assumptions!$B$31)</f>
        <v>2008.5</v>
      </c>
      <c r="K13" s="47">
        <f>H13*I13*Assumptions!$B$21*J13/1000000</f>
        <v>28.433214585841007</v>
      </c>
      <c r="L13" s="47">
        <f>G13*Assumptions!F17*(1+Assumptions!$B$32)</f>
        <v>16.315710104166669</v>
      </c>
      <c r="M13" s="47">
        <f>K13*Assumptions!$B$34</f>
        <v>2.1324910939380755</v>
      </c>
      <c r="N13" s="47">
        <f>G13*(Assumptions!G17*(1+Assumptions!$B$33)+Assumptions!$B$35*(1+Assumptions!$B$33))</f>
        <v>2.2624451344444449</v>
      </c>
      <c r="O13" s="47">
        <f>K13*Assumptions!$B$36*(1+Assumptions!$B$33)</f>
        <v>1.3306744426173591</v>
      </c>
      <c r="P13" s="50">
        <f t="shared" si="2"/>
        <v>22.041320775166547</v>
      </c>
      <c r="Q13" s="50">
        <f t="shared" si="3"/>
        <v>6.3918938106744605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46">
        <v>46447</v>
      </c>
      <c r="B14" s="17" t="s">
        <v>38</v>
      </c>
      <c r="C14" s="50">
        <f t="shared" si="4"/>
        <v>145.48373611111109</v>
      </c>
      <c r="D14" s="47">
        <f>C14*(Assumptions!$B$29+Assumptions!$B$28)/12</f>
        <v>1.4548373611111109</v>
      </c>
      <c r="E14" s="47">
        <f>C14*Assumptions!$B$29/12</f>
        <v>1.2123644675925924</v>
      </c>
      <c r="F14" s="50">
        <f t="shared" si="0"/>
        <v>145.72620900462962</v>
      </c>
      <c r="G14" s="50">
        <f t="shared" si="1"/>
        <v>145.60497255787035</v>
      </c>
      <c r="H14" s="47">
        <f>G14*Assumptions!C13</f>
        <v>119.39607749745369</v>
      </c>
      <c r="I14" s="48">
        <f>MAX(0,MIN(0.95,Assumptions!D13+Assumptions!$B$30))</f>
        <v>0.77</v>
      </c>
      <c r="J14" s="49">
        <f>Assumptions!E13*(1+Assumptions!$B$31)</f>
        <v>2317.5</v>
      </c>
      <c r="K14" s="47">
        <f>H14*I14*Assumptions!$B$21*J14/1000000</f>
        <v>34.089490462762981</v>
      </c>
      <c r="L14" s="47">
        <f>G14*Assumptions!F13*(1+Assumptions!$B$32)</f>
        <v>17.581800436362848</v>
      </c>
      <c r="M14" s="47">
        <f>K14*Assumptions!$B$34</f>
        <v>2.5567117847072236</v>
      </c>
      <c r="N14" s="47">
        <f>G14*(Assumptions!G13*(1+Assumptions!$B$33)+Assumptions!$B$35*(1+Assumptions!$B$33))</f>
        <v>2.4228667433629631</v>
      </c>
      <c r="O14" s="47">
        <f>K14*Assumptions!$B$36*(1+Assumptions!$B$33)</f>
        <v>1.5953881536573076</v>
      </c>
      <c r="P14" s="50">
        <f t="shared" si="2"/>
        <v>24.156767118090343</v>
      </c>
      <c r="Q14" s="50">
        <f t="shared" si="3"/>
        <v>9.9327233446726382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46">
        <v>46447</v>
      </c>
      <c r="B15" s="17" t="s">
        <v>39</v>
      </c>
      <c r="C15" s="50">
        <f t="shared" si="4"/>
        <v>125.41701388888889</v>
      </c>
      <c r="D15" s="47">
        <f>C15*(Assumptions!$B$29+Assumptions!$B$28)/12</f>
        <v>1.2541701388888888</v>
      </c>
      <c r="E15" s="47">
        <f>C15*Assumptions!$B$29/12</f>
        <v>1.0451417824074074</v>
      </c>
      <c r="F15" s="50">
        <f t="shared" si="0"/>
        <v>125.62604224537037</v>
      </c>
      <c r="G15" s="50">
        <f t="shared" si="1"/>
        <v>125.52152806712962</v>
      </c>
      <c r="H15" s="47">
        <f>G15*Assumptions!C14</f>
        <v>105.43808357638888</v>
      </c>
      <c r="I15" s="48">
        <f>MAX(0,MIN(0.95,Assumptions!D14+Assumptions!$B$30))</f>
        <v>0.79</v>
      </c>
      <c r="J15" s="49">
        <f>Assumptions!E14*(1+Assumptions!$B$31)</f>
        <v>2472</v>
      </c>
      <c r="K15" s="47">
        <f>H15*I15*Assumptions!$B$21*J15/1000000</f>
        <v>32.945267944745332</v>
      </c>
      <c r="L15" s="47">
        <f>G15*Assumptions!F14*(1+Assumptions!$B$32)</f>
        <v>15.815712536458333</v>
      </c>
      <c r="M15" s="47">
        <f>K15*Assumptions!$B$34</f>
        <v>2.4708950958558997</v>
      </c>
      <c r="N15" s="47">
        <f>G15*(Assumptions!G14*(1+Assumptions!$B$33)+Assumptions!$B$35*(1+Assumptions!$B$33))</f>
        <v>2.2192206162268517</v>
      </c>
      <c r="O15" s="47">
        <f>K15*Assumptions!$B$36*(1+Assumptions!$B$33)</f>
        <v>1.5418385398140815</v>
      </c>
      <c r="P15" s="50">
        <f t="shared" si="2"/>
        <v>22.047666788355166</v>
      </c>
      <c r="Q15" s="50">
        <f t="shared" si="3"/>
        <v>10.897601156390166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46">
        <v>46447</v>
      </c>
      <c r="B16" s="17" t="s">
        <v>40</v>
      </c>
      <c r="C16" s="50">
        <f t="shared" si="4"/>
        <v>95.316930555555558</v>
      </c>
      <c r="D16" s="47">
        <f>C16*(Assumptions!$B$29+Assumptions!$B$28)/12</f>
        <v>0.95316930555555557</v>
      </c>
      <c r="E16" s="47">
        <f>C16*Assumptions!$B$29/12</f>
        <v>0.79430775462962966</v>
      </c>
      <c r="F16" s="50">
        <f t="shared" si="0"/>
        <v>95.475792106481492</v>
      </c>
      <c r="G16" s="50">
        <f t="shared" si="1"/>
        <v>95.396361331018525</v>
      </c>
      <c r="H16" s="47">
        <f>G16*Assumptions!C15</f>
        <v>82.040870744675928</v>
      </c>
      <c r="I16" s="48">
        <f>MAX(0,MIN(0.95,Assumptions!D15+Assumptions!$B$30))</f>
        <v>0.80999999999999994</v>
      </c>
      <c r="J16" s="49">
        <f>Assumptions!E15*(1+Assumptions!$B$31)</f>
        <v>2678</v>
      </c>
      <c r="K16" s="47">
        <f>H16*I16*Assumptions!$B$21*J16/1000000</f>
        <v>28.473826560309778</v>
      </c>
      <c r="L16" s="47">
        <f>G16*Assumptions!F15*(1+Assumptions!$B$32)</f>
        <v>13.021603321684029</v>
      </c>
      <c r="M16" s="47">
        <f>K16*Assumptions!$B$34</f>
        <v>2.1355369920232334</v>
      </c>
      <c r="N16" s="47">
        <f>G16*(Assumptions!G15*(1+Assumptions!$B$33)+Assumptions!$B$35*(1+Assumptions!$B$33))</f>
        <v>1.7858198841166668</v>
      </c>
      <c r="O16" s="47">
        <f>K16*Assumptions!$B$36*(1+Assumptions!$B$33)</f>
        <v>1.3325750830224976</v>
      </c>
      <c r="P16" s="50">
        <f t="shared" si="2"/>
        <v>18.275535280846427</v>
      </c>
      <c r="Q16" s="50">
        <f t="shared" si="3"/>
        <v>10.198291279463351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46">
        <v>46447</v>
      </c>
      <c r="B17" s="17" t="s">
        <v>41</v>
      </c>
      <c r="C17" s="50">
        <f t="shared" si="4"/>
        <v>180.60050000000001</v>
      </c>
      <c r="D17" s="47">
        <f>C17*(Assumptions!$B$29+Assumptions!$B$28)/12</f>
        <v>1.8060050000000001</v>
      </c>
      <c r="E17" s="47">
        <f>C17*Assumptions!$B$29/12</f>
        <v>1.5050041666666667</v>
      </c>
      <c r="F17" s="50">
        <f t="shared" si="0"/>
        <v>180.90150083333333</v>
      </c>
      <c r="G17" s="50">
        <f t="shared" si="1"/>
        <v>180.75100041666667</v>
      </c>
      <c r="H17" s="47">
        <f>G17*Assumptions!C16</f>
        <v>144.60080033333335</v>
      </c>
      <c r="I17" s="48">
        <f>MAX(0,MIN(0.95,Assumptions!D16+Assumptions!$B$30))</f>
        <v>0.75</v>
      </c>
      <c r="J17" s="49">
        <f>Assumptions!E16*(1+Assumptions!$B$31)</f>
        <v>2163</v>
      </c>
      <c r="K17" s="47">
        <f>H17*I17*Assumptions!$B$21*J17/1000000</f>
        <v>37.532583734520003</v>
      </c>
      <c r="L17" s="47">
        <f>G17*Assumptions!F16*(1+Assumptions!$B$32)</f>
        <v>19.927797795937501</v>
      </c>
      <c r="M17" s="47">
        <f>K17*Assumptions!$B$34</f>
        <v>2.814943780089</v>
      </c>
      <c r="N17" s="47">
        <f>G17*(Assumptions!G16*(1+Assumptions!$B$33)+Assumptions!$B$35*(1+Assumptions!$B$33))</f>
        <v>2.8197156065000004</v>
      </c>
      <c r="O17" s="47">
        <f>K17*Assumptions!$B$36*(1+Assumptions!$B$33)</f>
        <v>1.7565249187755361</v>
      </c>
      <c r="P17" s="50">
        <f t="shared" si="2"/>
        <v>27.318982101302037</v>
      </c>
      <c r="Q17" s="50">
        <f t="shared" si="3"/>
        <v>10.213601633217966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46">
        <v>46447</v>
      </c>
      <c r="B18" s="17" t="s">
        <v>42</v>
      </c>
      <c r="C18" s="50">
        <f t="shared" si="4"/>
        <v>155.51709722222225</v>
      </c>
      <c r="D18" s="47">
        <f>C18*(Assumptions!$B$29+Assumptions!$B$28)/12</f>
        <v>1.5551709722222224</v>
      </c>
      <c r="E18" s="47">
        <f>C18*Assumptions!$B$29/12</f>
        <v>1.2959758101851855</v>
      </c>
      <c r="F18" s="50">
        <f t="shared" si="0"/>
        <v>155.77629238425928</v>
      </c>
      <c r="G18" s="50">
        <f t="shared" si="1"/>
        <v>155.64669480324076</v>
      </c>
      <c r="H18" s="47">
        <f>G18*Assumptions!C17</f>
        <v>121.4044219465278</v>
      </c>
      <c r="I18" s="48">
        <f>MAX(0,MIN(0.95,Assumptions!D17+Assumptions!$B$30))</f>
        <v>0.73</v>
      </c>
      <c r="J18" s="49">
        <f>Assumptions!E17*(1+Assumptions!$B$31)</f>
        <v>2008.5</v>
      </c>
      <c r="K18" s="47">
        <f>H18*I18*Assumptions!$B$21*J18/1000000</f>
        <v>28.480603276817408</v>
      </c>
      <c r="L18" s="47">
        <f>G18*Assumptions!F17*(1+Assumptions!$B$32)</f>
        <v>16.342902954340282</v>
      </c>
      <c r="M18" s="47">
        <f>K18*Assumptions!$B$34</f>
        <v>2.1360452457613057</v>
      </c>
      <c r="N18" s="47">
        <f>G18*(Assumptions!G17*(1+Assumptions!$B$33)+Assumptions!$B$35*(1+Assumptions!$B$33))</f>
        <v>2.2662158763351856</v>
      </c>
      <c r="O18" s="47">
        <f>K18*Assumptions!$B$36*(1+Assumptions!$B$33)</f>
        <v>1.3328922333550546</v>
      </c>
      <c r="P18" s="50">
        <f t="shared" si="2"/>
        <v>22.078056309791826</v>
      </c>
      <c r="Q18" s="50">
        <f t="shared" si="3"/>
        <v>6.4025469670255823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46">
        <v>46478</v>
      </c>
      <c r="B19" s="17" t="s">
        <v>38</v>
      </c>
      <c r="C19" s="50">
        <f t="shared" si="4"/>
        <v>145.72620900462962</v>
      </c>
      <c r="D19" s="47">
        <f>C19*(Assumptions!$B$29+Assumptions!$B$28)/12</f>
        <v>1.4572620900462965</v>
      </c>
      <c r="E19" s="47">
        <f>C19*Assumptions!$B$29/12</f>
        <v>1.2143850750385803</v>
      </c>
      <c r="F19" s="50">
        <f t="shared" si="0"/>
        <v>145.96908601963733</v>
      </c>
      <c r="G19" s="50">
        <f t="shared" si="1"/>
        <v>145.84764751213348</v>
      </c>
      <c r="H19" s="47">
        <f>G19*Assumptions!C13</f>
        <v>119.59507095994944</v>
      </c>
      <c r="I19" s="48">
        <f>MAX(0,MIN(0.95,Assumptions!D13+Assumptions!$B$30))</f>
        <v>0.77</v>
      </c>
      <c r="J19" s="49">
        <f>Assumptions!E13*(1+Assumptions!$B$31)</f>
        <v>2317.5</v>
      </c>
      <c r="K19" s="47">
        <f>H19*I19*Assumptions!$B$21*J19/1000000</f>
        <v>34.146306280200918</v>
      </c>
      <c r="L19" s="47">
        <f>G19*Assumptions!F13*(1+Assumptions!$B$32)</f>
        <v>17.611103437090119</v>
      </c>
      <c r="M19" s="47">
        <f>K19*Assumptions!$B$34</f>
        <v>2.5609729710150688</v>
      </c>
      <c r="N19" s="47">
        <f>G19*(Assumptions!G13*(1+Assumptions!$B$33)+Assumptions!$B$35*(1+Assumptions!$B$33))</f>
        <v>2.4269048546019012</v>
      </c>
      <c r="O19" s="47">
        <f>K19*Assumptions!$B$36*(1+Assumptions!$B$33)</f>
        <v>1.5980471339134028</v>
      </c>
      <c r="P19" s="50">
        <f t="shared" si="2"/>
        <v>24.197028396620492</v>
      </c>
      <c r="Q19" s="50">
        <f t="shared" si="3"/>
        <v>9.9492778835804252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46">
        <v>46478</v>
      </c>
      <c r="B20" s="17" t="s">
        <v>39</v>
      </c>
      <c r="C20" s="50">
        <f t="shared" si="4"/>
        <v>125.62604224537037</v>
      </c>
      <c r="D20" s="47">
        <f>C20*(Assumptions!$B$29+Assumptions!$B$28)/12</f>
        <v>1.256260422453704</v>
      </c>
      <c r="E20" s="47">
        <f>C20*Assumptions!$B$29/12</f>
        <v>1.0468836853780865</v>
      </c>
      <c r="F20" s="50">
        <f t="shared" si="0"/>
        <v>125.83541898244599</v>
      </c>
      <c r="G20" s="50">
        <f t="shared" si="1"/>
        <v>125.73073061390818</v>
      </c>
      <c r="H20" s="47">
        <f>G20*Assumptions!C14</f>
        <v>105.61381371568287</v>
      </c>
      <c r="I20" s="48">
        <f>MAX(0,MIN(0.95,Assumptions!D14+Assumptions!$B$30))</f>
        <v>0.79</v>
      </c>
      <c r="J20" s="49">
        <f>Assumptions!E14*(1+Assumptions!$B$31)</f>
        <v>2472</v>
      </c>
      <c r="K20" s="47">
        <f>H20*I20*Assumptions!$B$21*J20/1000000</f>
        <v>33.000176724653244</v>
      </c>
      <c r="L20" s="47">
        <f>G20*Assumptions!F14*(1+Assumptions!$B$32)</f>
        <v>15.84207205735243</v>
      </c>
      <c r="M20" s="47">
        <f>K20*Assumptions!$B$34</f>
        <v>2.4750132543489931</v>
      </c>
      <c r="N20" s="47">
        <f>G20*(Assumptions!G14*(1+Assumptions!$B$33)+Assumptions!$B$35*(1+Assumptions!$B$33))</f>
        <v>2.2229193172538966</v>
      </c>
      <c r="O20" s="47">
        <f>K20*Assumptions!$B$36*(1+Assumptions!$B$33)</f>
        <v>1.5444082707137718</v>
      </c>
      <c r="P20" s="50">
        <f t="shared" si="2"/>
        <v>22.08441289966909</v>
      </c>
      <c r="Q20" s="50">
        <f t="shared" si="3"/>
        <v>10.915763824984154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46">
        <v>46478</v>
      </c>
      <c r="B21" s="17" t="s">
        <v>40</v>
      </c>
      <c r="C21" s="50">
        <f t="shared" si="4"/>
        <v>95.475792106481492</v>
      </c>
      <c r="D21" s="47">
        <f>C21*(Assumptions!$B$29+Assumptions!$B$28)/12</f>
        <v>0.95475792106481494</v>
      </c>
      <c r="E21" s="47">
        <f>C21*Assumptions!$B$29/12</f>
        <v>0.79563160088734586</v>
      </c>
      <c r="F21" s="50">
        <f t="shared" si="0"/>
        <v>95.634918426658956</v>
      </c>
      <c r="G21" s="50">
        <f t="shared" si="1"/>
        <v>95.555355266570217</v>
      </c>
      <c r="H21" s="47">
        <f>G21*Assumptions!C15</f>
        <v>82.177605529250386</v>
      </c>
      <c r="I21" s="48">
        <f>MAX(0,MIN(0.95,Assumptions!D15+Assumptions!$B$30))</f>
        <v>0.80999999999999994</v>
      </c>
      <c r="J21" s="49">
        <f>Assumptions!E15*(1+Assumptions!$B$31)</f>
        <v>2678</v>
      </c>
      <c r="K21" s="47">
        <f>H21*I21*Assumptions!$B$21*J21/1000000</f>
        <v>28.521282937910293</v>
      </c>
      <c r="L21" s="47">
        <f>G21*Assumptions!F15*(1+Assumptions!$B$32)</f>
        <v>13.043305993886834</v>
      </c>
      <c r="M21" s="47">
        <f>K21*Assumptions!$B$34</f>
        <v>2.139096220343272</v>
      </c>
      <c r="N21" s="47">
        <f>G21*(Assumptions!G15*(1+Assumptions!$B$33)+Assumptions!$B$35*(1+Assumptions!$B$33))</f>
        <v>1.7887962505901944</v>
      </c>
      <c r="O21" s="47">
        <f>K21*Assumptions!$B$36*(1+Assumptions!$B$33)</f>
        <v>1.3347960414942015</v>
      </c>
      <c r="P21" s="50">
        <f t="shared" si="2"/>
        <v>18.305994506314502</v>
      </c>
      <c r="Q21" s="50">
        <f t="shared" si="3"/>
        <v>10.215288431595791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46">
        <v>46478</v>
      </c>
      <c r="B22" s="17" t="s">
        <v>41</v>
      </c>
      <c r="C22" s="50">
        <f t="shared" si="4"/>
        <v>180.90150083333333</v>
      </c>
      <c r="D22" s="47">
        <f>C22*(Assumptions!$B$29+Assumptions!$B$28)/12</f>
        <v>1.8090150083333334</v>
      </c>
      <c r="E22" s="47">
        <f>C22*Assumptions!$B$29/12</f>
        <v>1.5075125069444446</v>
      </c>
      <c r="F22" s="50">
        <f t="shared" si="0"/>
        <v>181.20300333472224</v>
      </c>
      <c r="G22" s="50">
        <f t="shared" si="1"/>
        <v>181.05225208402777</v>
      </c>
      <c r="H22" s="47">
        <f>G22*Assumptions!C16</f>
        <v>144.84180166722223</v>
      </c>
      <c r="I22" s="48">
        <f>MAX(0,MIN(0.95,Assumptions!D16+Assumptions!$B$30))</f>
        <v>0.75</v>
      </c>
      <c r="J22" s="49">
        <f>Assumptions!E16*(1+Assumptions!$B$31)</f>
        <v>2163</v>
      </c>
      <c r="K22" s="47">
        <f>H22*I22*Assumptions!$B$21*J22/1000000</f>
        <v>37.595138040744203</v>
      </c>
      <c r="L22" s="47">
        <f>G22*Assumptions!F16*(1+Assumptions!$B$32)</f>
        <v>19.961010792264062</v>
      </c>
      <c r="M22" s="47">
        <f>K22*Assumptions!$B$34</f>
        <v>2.8196353530558151</v>
      </c>
      <c r="N22" s="47">
        <f>G22*(Assumptions!G16*(1+Assumptions!$B$33)+Assumptions!$B$35*(1+Assumptions!$B$33))</f>
        <v>2.8244151325108335</v>
      </c>
      <c r="O22" s="47">
        <f>K22*Assumptions!$B$36*(1+Assumptions!$B$33)</f>
        <v>1.7594524603068289</v>
      </c>
      <c r="P22" s="50">
        <f t="shared" si="2"/>
        <v>27.364513738137539</v>
      </c>
      <c r="Q22" s="50">
        <f t="shared" si="3"/>
        <v>10.230624302606664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46">
        <v>46478</v>
      </c>
      <c r="B23" s="17" t="s">
        <v>42</v>
      </c>
      <c r="C23" s="50">
        <f t="shared" si="4"/>
        <v>155.77629238425928</v>
      </c>
      <c r="D23" s="47">
        <f>C23*(Assumptions!$B$29+Assumptions!$B$28)/12</f>
        <v>1.557762923842593</v>
      </c>
      <c r="E23" s="47">
        <f>C23*Assumptions!$B$29/12</f>
        <v>1.2981357698688274</v>
      </c>
      <c r="F23" s="50">
        <f t="shared" si="0"/>
        <v>156.03591953823306</v>
      </c>
      <c r="G23" s="50">
        <f t="shared" si="1"/>
        <v>155.90610596124617</v>
      </c>
      <c r="H23" s="47">
        <f>G23*Assumptions!C17</f>
        <v>121.60676264977202</v>
      </c>
      <c r="I23" s="48">
        <f>MAX(0,MIN(0.95,Assumptions!D17+Assumptions!$B$30))</f>
        <v>0.73</v>
      </c>
      <c r="J23" s="49">
        <f>Assumptions!E17*(1+Assumptions!$B$31)</f>
        <v>2008.5</v>
      </c>
      <c r="K23" s="47">
        <f>H23*I23*Assumptions!$B$21*J23/1000000</f>
        <v>28.528070948945437</v>
      </c>
      <c r="L23" s="47">
        <f>G23*Assumptions!F17*(1+Assumptions!$B$32)</f>
        <v>16.37014112593085</v>
      </c>
      <c r="M23" s="47">
        <f>K23*Assumptions!$B$34</f>
        <v>2.1396053211709076</v>
      </c>
      <c r="N23" s="47">
        <f>G23*(Assumptions!G17*(1+Assumptions!$B$33)+Assumptions!$B$35*(1+Assumptions!$B$33))</f>
        <v>2.2699929027957446</v>
      </c>
      <c r="O23" s="47">
        <f>K23*Assumptions!$B$36*(1+Assumptions!$B$33)</f>
        <v>1.3351137204106465</v>
      </c>
      <c r="P23" s="50">
        <f t="shared" si="2"/>
        <v>22.114853070308151</v>
      </c>
      <c r="Q23" s="50">
        <f t="shared" si="3"/>
        <v>6.4132178786372869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46">
        <v>46508</v>
      </c>
      <c r="B24" s="17" t="s">
        <v>38</v>
      </c>
      <c r="C24" s="50">
        <f t="shared" si="4"/>
        <v>145.96908601963733</v>
      </c>
      <c r="D24" s="47">
        <f>C24*(Assumptions!$B$29+Assumptions!$B$28)/12</f>
        <v>1.4596908601963736</v>
      </c>
      <c r="E24" s="47">
        <f>C24*Assumptions!$B$29/12</f>
        <v>1.2164090501636444</v>
      </c>
      <c r="F24" s="50">
        <f t="shared" si="0"/>
        <v>146.21236782967006</v>
      </c>
      <c r="G24" s="50">
        <f t="shared" si="1"/>
        <v>146.09072692465369</v>
      </c>
      <c r="H24" s="47">
        <f>G24*Assumptions!C13</f>
        <v>119.79439607821602</v>
      </c>
      <c r="I24" s="48">
        <f>MAX(0,MIN(0.95,Assumptions!D13+Assumptions!$B$30))</f>
        <v>0.77</v>
      </c>
      <c r="J24" s="49">
        <f>Assumptions!E13*(1+Assumptions!$B$31)</f>
        <v>2317.5</v>
      </c>
      <c r="K24" s="47">
        <f>H24*I24*Assumptions!$B$21*J24/1000000</f>
        <v>34.203216790667931</v>
      </c>
      <c r="L24" s="47">
        <f>G24*Assumptions!F13*(1+Assumptions!$B$32)</f>
        <v>17.640455276151936</v>
      </c>
      <c r="M24" s="47">
        <f>K24*Assumptions!$B$34</f>
        <v>2.5652412593000946</v>
      </c>
      <c r="N24" s="47">
        <f>G24*(Assumptions!G13*(1+Assumptions!$B$33)+Assumptions!$B$35*(1+Assumptions!$B$33))</f>
        <v>2.4309496960262376</v>
      </c>
      <c r="O24" s="47">
        <f>K24*Assumptions!$B$36*(1+Assumptions!$B$33)</f>
        <v>1.6007105458032591</v>
      </c>
      <c r="P24" s="50">
        <f t="shared" si="2"/>
        <v>24.237356777281526</v>
      </c>
      <c r="Q24" s="50">
        <f t="shared" si="3"/>
        <v>9.9658600133864041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46">
        <v>46508</v>
      </c>
      <c r="B25" s="17" t="s">
        <v>39</v>
      </c>
      <c r="C25" s="50">
        <f t="shared" si="4"/>
        <v>125.83541898244599</v>
      </c>
      <c r="D25" s="47">
        <f>C25*(Assumptions!$B$29+Assumptions!$B$28)/12</f>
        <v>1.2583541898244599</v>
      </c>
      <c r="E25" s="47">
        <f>C25*Assumptions!$B$29/12</f>
        <v>1.0486284915203832</v>
      </c>
      <c r="F25" s="50">
        <f t="shared" si="0"/>
        <v>126.04514468075006</v>
      </c>
      <c r="G25" s="50">
        <f t="shared" si="1"/>
        <v>125.94028183159801</v>
      </c>
      <c r="H25" s="47">
        <f>G25*Assumptions!C14</f>
        <v>105.78983673854233</v>
      </c>
      <c r="I25" s="48">
        <f>MAX(0,MIN(0.95,Assumptions!D14+Assumptions!$B$30))</f>
        <v>0.79</v>
      </c>
      <c r="J25" s="49">
        <f>Assumptions!E14*(1+Assumptions!$B$31)</f>
        <v>2472</v>
      </c>
      <c r="K25" s="47">
        <f>H25*I25*Assumptions!$B$21*J25/1000000</f>
        <v>33.055177019194332</v>
      </c>
      <c r="L25" s="47">
        <f>G25*Assumptions!F14*(1+Assumptions!$B$32)</f>
        <v>15.86847551078135</v>
      </c>
      <c r="M25" s="47">
        <f>K25*Assumptions!$B$34</f>
        <v>2.4791382764395746</v>
      </c>
      <c r="N25" s="47">
        <f>G25*(Assumptions!G14*(1+Assumptions!$B$33)+Assumptions!$B$35*(1+Assumptions!$B$33))</f>
        <v>2.2266241827826532</v>
      </c>
      <c r="O25" s="47">
        <f>K25*Assumptions!$B$36*(1+Assumptions!$B$33)</f>
        <v>1.5469822844982948</v>
      </c>
      <c r="P25" s="50">
        <f t="shared" si="2"/>
        <v>22.121220254501875</v>
      </c>
      <c r="Q25" s="50">
        <f t="shared" si="3"/>
        <v>10.933956764692457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46">
        <v>46508</v>
      </c>
      <c r="B26" s="17" t="s">
        <v>40</v>
      </c>
      <c r="C26" s="50">
        <f t="shared" si="4"/>
        <v>95.634918426658956</v>
      </c>
      <c r="D26" s="47">
        <f>C26*(Assumptions!$B$29+Assumptions!$B$28)/12</f>
        <v>0.95634918426658955</v>
      </c>
      <c r="E26" s="47">
        <f>C26*Assumptions!$B$29/12</f>
        <v>0.79695765355549131</v>
      </c>
      <c r="F26" s="50">
        <f t="shared" si="0"/>
        <v>95.794309957370047</v>
      </c>
      <c r="G26" s="50">
        <f t="shared" si="1"/>
        <v>95.714614192014494</v>
      </c>
      <c r="H26" s="47">
        <f>G26*Assumptions!C15</f>
        <v>82.31456820513246</v>
      </c>
      <c r="I26" s="48">
        <f>MAX(0,MIN(0.95,Assumptions!D15+Assumptions!$B$30))</f>
        <v>0.80999999999999994</v>
      </c>
      <c r="J26" s="49">
        <f>Assumptions!E15*(1+Assumptions!$B$31)</f>
        <v>2678</v>
      </c>
      <c r="K26" s="47">
        <f>H26*I26*Assumptions!$B$21*J26/1000000</f>
        <v>28.568818409473476</v>
      </c>
      <c r="L26" s="47">
        <f>G26*Assumptions!F15*(1+Assumptions!$B$32)</f>
        <v>13.065044837209978</v>
      </c>
      <c r="M26" s="47">
        <f>K26*Assumptions!$B$34</f>
        <v>2.1426613807105106</v>
      </c>
      <c r="N26" s="47">
        <f>G26*(Assumptions!G15*(1+Assumptions!$B$33)+Assumptions!$B$35*(1+Assumptions!$B$33))</f>
        <v>1.7917775776745113</v>
      </c>
      <c r="O26" s="47">
        <f>K26*Assumptions!$B$36*(1+Assumptions!$B$33)</f>
        <v>1.3370207015633586</v>
      </c>
      <c r="P26" s="50">
        <f t="shared" si="2"/>
        <v>18.336504497158359</v>
      </c>
      <c r="Q26" s="50">
        <f t="shared" si="3"/>
        <v>10.232313912315117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46">
        <v>46508</v>
      </c>
      <c r="B27" s="17" t="s">
        <v>41</v>
      </c>
      <c r="C27" s="50">
        <f t="shared" si="4"/>
        <v>181.20300333472224</v>
      </c>
      <c r="D27" s="47">
        <f>C27*(Assumptions!$B$29+Assumptions!$B$28)/12</f>
        <v>1.8120300333472226</v>
      </c>
      <c r="E27" s="47">
        <f>C27*Assumptions!$B$29/12</f>
        <v>1.5100250277893521</v>
      </c>
      <c r="F27" s="50">
        <f t="shared" si="0"/>
        <v>181.50500834028011</v>
      </c>
      <c r="G27" s="50">
        <f t="shared" si="1"/>
        <v>181.35400583750118</v>
      </c>
      <c r="H27" s="47">
        <f>G27*Assumptions!C16</f>
        <v>145.08320467000095</v>
      </c>
      <c r="I27" s="48">
        <f>MAX(0,MIN(0.95,Assumptions!D16+Assumptions!$B$30))</f>
        <v>0.75</v>
      </c>
      <c r="J27" s="49">
        <f>Assumptions!E16*(1+Assumptions!$B$31)</f>
        <v>2163</v>
      </c>
      <c r="K27" s="47">
        <f>H27*I27*Assumptions!$B$21*J27/1000000</f>
        <v>37.657796604145446</v>
      </c>
      <c r="L27" s="47">
        <f>G27*Assumptions!F16*(1+Assumptions!$B$32)</f>
        <v>19.994279143584503</v>
      </c>
      <c r="M27" s="47">
        <f>K27*Assumptions!$B$34</f>
        <v>2.8243347453109084</v>
      </c>
      <c r="N27" s="47">
        <f>G27*(Assumptions!G16*(1+Assumptions!$B$33)+Assumptions!$B$35*(1+Assumptions!$B$33))</f>
        <v>2.8291224910650183</v>
      </c>
      <c r="O27" s="47">
        <f>K27*Assumptions!$B$36*(1+Assumptions!$B$33)</f>
        <v>1.7623848810740068</v>
      </c>
      <c r="P27" s="50">
        <f t="shared" si="2"/>
        <v>27.410121261034437</v>
      </c>
      <c r="Q27" s="50">
        <f t="shared" si="3"/>
        <v>10.247675343111009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46">
        <v>46508</v>
      </c>
      <c r="B28" s="17" t="s">
        <v>42</v>
      </c>
      <c r="C28" s="50">
        <f t="shared" si="4"/>
        <v>156.03591953823306</v>
      </c>
      <c r="D28" s="47">
        <f>C28*(Assumptions!$B$29+Assumptions!$B$28)/12</f>
        <v>1.5603591953823308</v>
      </c>
      <c r="E28" s="47">
        <f>C28*Assumptions!$B$29/12</f>
        <v>1.3002993294852756</v>
      </c>
      <c r="F28" s="50">
        <f t="shared" si="0"/>
        <v>156.29597940413009</v>
      </c>
      <c r="G28" s="50">
        <f t="shared" si="1"/>
        <v>156.16594947118159</v>
      </c>
      <c r="H28" s="47">
        <f>G28*Assumptions!C17</f>
        <v>121.80944058752165</v>
      </c>
      <c r="I28" s="48">
        <f>MAX(0,MIN(0.95,Assumptions!D17+Assumptions!$B$30))</f>
        <v>0.73</v>
      </c>
      <c r="J28" s="49">
        <f>Assumptions!E17*(1+Assumptions!$B$31)</f>
        <v>2008.5</v>
      </c>
      <c r="K28" s="47">
        <f>H28*I28*Assumptions!$B$21*J28/1000000</f>
        <v>28.575617733860348</v>
      </c>
      <c r="L28" s="47">
        <f>G28*Assumptions!F17*(1+Assumptions!$B$32)</f>
        <v>16.397424694474068</v>
      </c>
      <c r="M28" s="47">
        <f>K28*Assumptions!$B$34</f>
        <v>2.1431713300395261</v>
      </c>
      <c r="N28" s="47">
        <f>G28*(Assumptions!G17*(1+Assumptions!$B$33)+Assumptions!$B$35*(1+Assumptions!$B$33))</f>
        <v>2.2737762243004043</v>
      </c>
      <c r="O28" s="47">
        <f>K28*Assumptions!$B$36*(1+Assumptions!$B$33)</f>
        <v>1.3373389099446644</v>
      </c>
      <c r="P28" s="50">
        <f t="shared" si="2"/>
        <v>22.151711158758665</v>
      </c>
      <c r="Q28" s="50">
        <f t="shared" si="3"/>
        <v>6.4239065751016824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46">
        <v>46539</v>
      </c>
      <c r="B29" s="17" t="s">
        <v>38</v>
      </c>
      <c r="C29" s="50">
        <f t="shared" si="4"/>
        <v>146.21236782967006</v>
      </c>
      <c r="D29" s="47">
        <f>C29*(Assumptions!$B$29+Assumptions!$B$28)/12</f>
        <v>1.4621236782967006</v>
      </c>
      <c r="E29" s="47">
        <f>C29*Assumptions!$B$29/12</f>
        <v>1.2184363985805839</v>
      </c>
      <c r="F29" s="50">
        <f t="shared" si="0"/>
        <v>146.45605510938617</v>
      </c>
      <c r="G29" s="50">
        <f t="shared" si="1"/>
        <v>146.3342114695281</v>
      </c>
      <c r="H29" s="47">
        <f>G29*Assumptions!C13</f>
        <v>119.99405340501303</v>
      </c>
      <c r="I29" s="48">
        <f>MAX(0,MIN(0.95,Assumptions!D13+Assumptions!$B$30))</f>
        <v>0.77</v>
      </c>
      <c r="J29" s="49">
        <f>Assumptions!E13*(1+Assumptions!$B$31)</f>
        <v>2317.5</v>
      </c>
      <c r="K29" s="47">
        <f>H29*I29*Assumptions!$B$21*J29/1000000</f>
        <v>34.260222151985708</v>
      </c>
      <c r="L29" s="47">
        <f>G29*Assumptions!F13*(1+Assumptions!$B$32)</f>
        <v>17.669856034945521</v>
      </c>
      <c r="M29" s="47">
        <f>K29*Assumptions!$B$34</f>
        <v>2.5695166613989282</v>
      </c>
      <c r="N29" s="47">
        <f>G29*(Assumptions!G13*(1+Assumptions!$B$33)+Assumptions!$B$35*(1+Assumptions!$B$33))</f>
        <v>2.435001278852948</v>
      </c>
      <c r="O29" s="47">
        <f>K29*Assumptions!$B$36*(1+Assumptions!$B$33)</f>
        <v>1.6033783967129311</v>
      </c>
      <c r="P29" s="50">
        <f t="shared" si="2"/>
        <v>24.277752371910328</v>
      </c>
      <c r="Q29" s="50">
        <f t="shared" si="3"/>
        <v>9.9824697800753803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46">
        <v>46539</v>
      </c>
      <c r="B30" s="17" t="s">
        <v>39</v>
      </c>
      <c r="C30" s="50">
        <f t="shared" si="4"/>
        <v>126.04514468075006</v>
      </c>
      <c r="D30" s="47">
        <f>C30*(Assumptions!$B$29+Assumptions!$B$28)/12</f>
        <v>1.2604514468075008</v>
      </c>
      <c r="E30" s="47">
        <f>C30*Assumptions!$B$29/12</f>
        <v>1.0503762056729171</v>
      </c>
      <c r="F30" s="50">
        <f t="shared" si="0"/>
        <v>126.25521992188463</v>
      </c>
      <c r="G30" s="50">
        <f t="shared" si="1"/>
        <v>126.15018230131734</v>
      </c>
      <c r="H30" s="47">
        <f>G30*Assumptions!C14</f>
        <v>105.96615313310656</v>
      </c>
      <c r="I30" s="48">
        <f>MAX(0,MIN(0.95,Assumptions!D14+Assumptions!$B$30))</f>
        <v>0.79</v>
      </c>
      <c r="J30" s="49">
        <f>Assumptions!E14*(1+Assumptions!$B$31)</f>
        <v>2472</v>
      </c>
      <c r="K30" s="47">
        <f>H30*I30*Assumptions!$B$21*J30/1000000</f>
        <v>33.110268980892982</v>
      </c>
      <c r="L30" s="47">
        <f>G30*Assumptions!F14*(1+Assumptions!$B$32)</f>
        <v>15.894922969965986</v>
      </c>
      <c r="M30" s="47">
        <f>K30*Assumptions!$B$34</f>
        <v>2.4832701735669738</v>
      </c>
      <c r="N30" s="47">
        <f>G30*(Assumptions!G14*(1+Assumptions!$B$33)+Assumptions!$B$35*(1+Assumptions!$B$33))</f>
        <v>2.2303352230872906</v>
      </c>
      <c r="O30" s="47">
        <f>K30*Assumptions!$B$36*(1+Assumptions!$B$33)</f>
        <v>1.5495605883057917</v>
      </c>
      <c r="P30" s="50">
        <f t="shared" si="2"/>
        <v>22.158088954926043</v>
      </c>
      <c r="Q30" s="50">
        <f t="shared" si="3"/>
        <v>10.952180025966939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46">
        <v>46539</v>
      </c>
      <c r="B31" s="17" t="s">
        <v>40</v>
      </c>
      <c r="C31" s="50">
        <f t="shared" si="4"/>
        <v>95.794309957370047</v>
      </c>
      <c r="D31" s="47">
        <f>C31*(Assumptions!$B$29+Assumptions!$B$28)/12</f>
        <v>0.95794309957370061</v>
      </c>
      <c r="E31" s="47">
        <f>C31*Assumptions!$B$29/12</f>
        <v>0.79828591631141699</v>
      </c>
      <c r="F31" s="50">
        <f t="shared" si="0"/>
        <v>95.953967140632329</v>
      </c>
      <c r="G31" s="50">
        <f t="shared" si="1"/>
        <v>95.874138549001188</v>
      </c>
      <c r="H31" s="47">
        <f>G31*Assumptions!C15</f>
        <v>82.451759152141022</v>
      </c>
      <c r="I31" s="48">
        <f>MAX(0,MIN(0.95,Assumptions!D15+Assumptions!$B$30))</f>
        <v>0.80999999999999994</v>
      </c>
      <c r="J31" s="49">
        <f>Assumptions!E15*(1+Assumptions!$B$31)</f>
        <v>2678</v>
      </c>
      <c r="K31" s="47">
        <f>H31*I31*Assumptions!$B$21*J31/1000000</f>
        <v>28.616433106822601</v>
      </c>
      <c r="L31" s="47">
        <f>G31*Assumptions!F15*(1+Assumptions!$B$32)</f>
        <v>13.086819911938662</v>
      </c>
      <c r="M31" s="47">
        <f>K31*Assumptions!$B$34</f>
        <v>2.146232483011695</v>
      </c>
      <c r="N31" s="47">
        <f>G31*(Assumptions!G15*(1+Assumptions!$B$33)+Assumptions!$B$35*(1+Assumptions!$B$33))</f>
        <v>1.7947638736373024</v>
      </c>
      <c r="O31" s="47">
        <f>K31*Assumptions!$B$36*(1+Assumptions!$B$33)</f>
        <v>1.3392490693992976</v>
      </c>
      <c r="P31" s="50">
        <f t="shared" si="2"/>
        <v>18.367065337986954</v>
      </c>
      <c r="Q31" s="50">
        <f t="shared" si="3"/>
        <v>10.249367768835647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46">
        <v>46539</v>
      </c>
      <c r="B32" s="17" t="s">
        <v>41</v>
      </c>
      <c r="C32" s="50">
        <f t="shared" si="4"/>
        <v>181.50500834028011</v>
      </c>
      <c r="D32" s="47">
        <f>C32*(Assumptions!$B$29+Assumptions!$B$28)/12</f>
        <v>1.8150500834028014</v>
      </c>
      <c r="E32" s="47">
        <f>C32*Assumptions!$B$29/12</f>
        <v>1.512541736169001</v>
      </c>
      <c r="F32" s="50">
        <f t="shared" si="0"/>
        <v>181.80751668751392</v>
      </c>
      <c r="G32" s="50">
        <f t="shared" si="1"/>
        <v>181.65626251389702</v>
      </c>
      <c r="H32" s="47">
        <f>G32*Assumptions!C16</f>
        <v>145.32501001111763</v>
      </c>
      <c r="I32" s="48">
        <f>MAX(0,MIN(0.95,Assumptions!D16+Assumptions!$B$30))</f>
        <v>0.75</v>
      </c>
      <c r="J32" s="49">
        <f>Assumptions!E16*(1+Assumptions!$B$31)</f>
        <v>2163</v>
      </c>
      <c r="K32" s="47">
        <f>H32*I32*Assumptions!$B$21*J32/1000000</f>
        <v>37.720559598485693</v>
      </c>
      <c r="L32" s="47">
        <f>G32*Assumptions!F16*(1+Assumptions!$B$32)</f>
        <v>20.027602942157145</v>
      </c>
      <c r="M32" s="47">
        <f>K32*Assumptions!$B$34</f>
        <v>2.8290419698864269</v>
      </c>
      <c r="N32" s="47">
        <f>G32*(Assumptions!G16*(1+Assumptions!$B$33)+Assumptions!$B$35*(1+Assumptions!$B$33))</f>
        <v>2.8338376952167939</v>
      </c>
      <c r="O32" s="47">
        <f>K32*Assumptions!$B$36*(1+Assumptions!$B$33)</f>
        <v>1.7653221892091304</v>
      </c>
      <c r="P32" s="50">
        <f t="shared" si="2"/>
        <v>27.455804796469494</v>
      </c>
      <c r="Q32" s="50">
        <f t="shared" si="3"/>
        <v>10.264754802016199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46">
        <v>46539</v>
      </c>
      <c r="B33" s="17" t="s">
        <v>42</v>
      </c>
      <c r="C33" s="50">
        <f t="shared" si="4"/>
        <v>156.29597940413009</v>
      </c>
      <c r="D33" s="47">
        <f>C33*(Assumptions!$B$29+Assumptions!$B$28)/12</f>
        <v>1.5629597940413011</v>
      </c>
      <c r="E33" s="47">
        <f>C33*Assumptions!$B$29/12</f>
        <v>1.3024664950344176</v>
      </c>
      <c r="F33" s="50">
        <f t="shared" si="0"/>
        <v>156.55647270313696</v>
      </c>
      <c r="G33" s="50">
        <f t="shared" si="1"/>
        <v>156.42622605363351</v>
      </c>
      <c r="H33" s="47">
        <f>G33*Assumptions!C17</f>
        <v>122.01245632183415</v>
      </c>
      <c r="I33" s="48">
        <f>MAX(0,MIN(0.95,Assumptions!D17+Assumptions!$B$30))</f>
        <v>0.73</v>
      </c>
      <c r="J33" s="49">
        <f>Assumptions!E17*(1+Assumptions!$B$31)</f>
        <v>2008.5</v>
      </c>
      <c r="K33" s="47">
        <f>H33*I33*Assumptions!$B$21*J33/1000000</f>
        <v>28.623243763416774</v>
      </c>
      <c r="L33" s="47">
        <f>G33*Assumptions!F17*(1+Assumptions!$B$32)</f>
        <v>16.424753735631519</v>
      </c>
      <c r="M33" s="47">
        <f>K33*Assumptions!$B$34</f>
        <v>2.1467432822562578</v>
      </c>
      <c r="N33" s="47">
        <f>G33*(Assumptions!G17*(1+Assumptions!$B$33)+Assumptions!$B$35*(1+Assumptions!$B$33))</f>
        <v>2.2775658513409041</v>
      </c>
      <c r="O33" s="47">
        <f>K33*Assumptions!$B$36*(1+Assumptions!$B$33)</f>
        <v>1.339567808127905</v>
      </c>
      <c r="P33" s="50">
        <f t="shared" si="2"/>
        <v>22.188630677356585</v>
      </c>
      <c r="Q33" s="50">
        <f t="shared" si="3"/>
        <v>6.4346130860601889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46">
        <v>46569</v>
      </c>
      <c r="B34" s="17" t="s">
        <v>38</v>
      </c>
      <c r="C34" s="50">
        <f t="shared" si="4"/>
        <v>146.45605510938617</v>
      </c>
      <c r="D34" s="47">
        <f>C34*(Assumptions!$B$29+Assumptions!$B$28)/12</f>
        <v>1.4645605510938617</v>
      </c>
      <c r="E34" s="47">
        <f>C34*Assumptions!$B$29/12</f>
        <v>1.2204671259115514</v>
      </c>
      <c r="F34" s="50">
        <f t="shared" si="0"/>
        <v>146.70014853456848</v>
      </c>
      <c r="G34" s="50">
        <f t="shared" si="1"/>
        <v>146.57810182197733</v>
      </c>
      <c r="H34" s="47">
        <f>G34*Assumptions!C13</f>
        <v>120.1940434940214</v>
      </c>
      <c r="I34" s="48">
        <f>MAX(0,MIN(0.95,Assumptions!D13+Assumptions!$B$30))</f>
        <v>0.77</v>
      </c>
      <c r="J34" s="49">
        <f>Assumptions!E13*(1+Assumptions!$B$31)</f>
        <v>2317.5</v>
      </c>
      <c r="K34" s="47">
        <f>H34*I34*Assumptions!$B$21*J34/1000000</f>
        <v>34.317322522239017</v>
      </c>
      <c r="L34" s="47">
        <f>G34*Assumptions!F13*(1+Assumptions!$B$32)</f>
        <v>17.699305795003763</v>
      </c>
      <c r="M34" s="47">
        <f>K34*Assumptions!$B$34</f>
        <v>2.5737991891679264</v>
      </c>
      <c r="N34" s="47">
        <f>G34*(Assumptions!G13*(1+Assumptions!$B$33)+Assumptions!$B$35*(1+Assumptions!$B$33))</f>
        <v>2.4390596143177032</v>
      </c>
      <c r="O34" s="47">
        <f>K34*Assumptions!$B$36*(1+Assumptions!$B$33)</f>
        <v>1.6060506940407859</v>
      </c>
      <c r="P34" s="50">
        <f t="shared" si="2"/>
        <v>24.318215292530176</v>
      </c>
      <c r="Q34" s="50">
        <f t="shared" si="3"/>
        <v>9.9991072297088408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46">
        <v>46569</v>
      </c>
      <c r="B35" s="17" t="s">
        <v>39</v>
      </c>
      <c r="C35" s="50">
        <f t="shared" si="4"/>
        <v>126.25521992188463</v>
      </c>
      <c r="D35" s="47">
        <f>C35*(Assumptions!$B$29+Assumptions!$B$28)/12</f>
        <v>1.2625521992188464</v>
      </c>
      <c r="E35" s="47">
        <f>C35*Assumptions!$B$29/12</f>
        <v>1.0521268326823721</v>
      </c>
      <c r="F35" s="50">
        <f t="shared" si="0"/>
        <v>126.4656452884211</v>
      </c>
      <c r="G35" s="50">
        <f t="shared" si="1"/>
        <v>126.36043260515287</v>
      </c>
      <c r="H35" s="47">
        <f>G35*Assumptions!C14</f>
        <v>106.1427633883284</v>
      </c>
      <c r="I35" s="48">
        <f>MAX(0,MIN(0.95,Assumptions!D14+Assumptions!$B$30))</f>
        <v>0.79</v>
      </c>
      <c r="J35" s="49">
        <f>Assumptions!E14*(1+Assumptions!$B$31)</f>
        <v>2472</v>
      </c>
      <c r="K35" s="47">
        <f>H35*I35*Assumptions!$B$21*J35/1000000</f>
        <v>33.165452762527806</v>
      </c>
      <c r="L35" s="47">
        <f>G35*Assumptions!F14*(1+Assumptions!$B$32)</f>
        <v>15.92141450824926</v>
      </c>
      <c r="M35" s="47">
        <f>K35*Assumptions!$B$34</f>
        <v>2.4874089571895852</v>
      </c>
      <c r="N35" s="47">
        <f>G35*(Assumptions!G14*(1+Assumptions!$B$33)+Assumptions!$B$35*(1+Assumptions!$B$33))</f>
        <v>2.2340524484591029</v>
      </c>
      <c r="O35" s="47">
        <f>K35*Assumptions!$B$36*(1+Assumptions!$B$33)</f>
        <v>1.5521431892863011</v>
      </c>
      <c r="P35" s="50">
        <f t="shared" si="2"/>
        <v>22.195019103184251</v>
      </c>
      <c r="Q35" s="50">
        <f t="shared" si="3"/>
        <v>10.970433659343556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46">
        <v>46569</v>
      </c>
      <c r="B36" s="17" t="s">
        <v>40</v>
      </c>
      <c r="C36" s="50">
        <f t="shared" si="4"/>
        <v>95.953967140632329</v>
      </c>
      <c r="D36" s="47">
        <f>C36*(Assumptions!$B$29+Assumptions!$B$28)/12</f>
        <v>0.95953967140632335</v>
      </c>
      <c r="E36" s="47">
        <f>C36*Assumptions!$B$29/12</f>
        <v>0.79961639283860286</v>
      </c>
      <c r="F36" s="50">
        <f t="shared" ref="F36:F63" si="5">C36+D36-E36</f>
        <v>96.113890419200047</v>
      </c>
      <c r="G36" s="50">
        <f t="shared" ref="G36:G63" si="6">(C36+F36)/2</f>
        <v>96.033928779916181</v>
      </c>
      <c r="H36" s="47">
        <f>G36*Assumptions!C15</f>
        <v>82.58917875072791</v>
      </c>
      <c r="I36" s="48">
        <f>MAX(0,MIN(0.95,Assumptions!D15+Assumptions!$B$30))</f>
        <v>0.80999999999999994</v>
      </c>
      <c r="J36" s="49">
        <f>Assumptions!E15*(1+Assumptions!$B$31)</f>
        <v>2678</v>
      </c>
      <c r="K36" s="47">
        <f>H36*I36*Assumptions!$B$21*J36/1000000</f>
        <v>28.664127162000629</v>
      </c>
      <c r="L36" s="47">
        <f>G36*Assumptions!F15*(1+Assumptions!$B$32)</f>
        <v>13.108631278458558</v>
      </c>
      <c r="M36" s="47">
        <f>K36*Assumptions!$B$34</f>
        <v>2.149809537150047</v>
      </c>
      <c r="N36" s="47">
        <f>G36*(Assumptions!G15*(1+Assumptions!$B$33)+Assumptions!$B$35*(1+Assumptions!$B$33))</f>
        <v>1.797755146760031</v>
      </c>
      <c r="O36" s="47">
        <f>K36*Assumptions!$B$36*(1+Assumptions!$B$33)</f>
        <v>1.3414811511816294</v>
      </c>
      <c r="P36" s="50">
        <f t="shared" ref="P36:P63" si="7">SUM(L36:O36)</f>
        <v>18.397677113550266</v>
      </c>
      <c r="Q36" s="50">
        <f t="shared" ref="Q36:Q63" si="8">K36-P36</f>
        <v>10.266450048450363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46">
        <v>46569</v>
      </c>
      <c r="B37" s="17" t="s">
        <v>41</v>
      </c>
      <c r="C37" s="50">
        <f t="shared" si="4"/>
        <v>181.80751668751392</v>
      </c>
      <c r="D37" s="47">
        <f>C37*(Assumptions!$B$29+Assumptions!$B$28)/12</f>
        <v>1.8180751668751396</v>
      </c>
      <c r="E37" s="47">
        <f>C37*Assumptions!$B$29/12</f>
        <v>1.5150626390626163</v>
      </c>
      <c r="F37" s="50">
        <f t="shared" si="5"/>
        <v>182.11052921532644</v>
      </c>
      <c r="G37" s="50">
        <f t="shared" si="6"/>
        <v>181.9590229514202</v>
      </c>
      <c r="H37" s="47">
        <f>G37*Assumptions!C16</f>
        <v>145.56721836113616</v>
      </c>
      <c r="I37" s="48">
        <f>MAX(0,MIN(0.95,Assumptions!D16+Assumptions!$B$30))</f>
        <v>0.75</v>
      </c>
      <c r="J37" s="49">
        <f>Assumptions!E16*(1+Assumptions!$B$31)</f>
        <v>2163</v>
      </c>
      <c r="K37" s="47">
        <f>H37*I37*Assumptions!$B$21*J37/1000000</f>
        <v>37.783427197816508</v>
      </c>
      <c r="L37" s="47">
        <f>G37*Assumptions!F16*(1+Assumptions!$B$32)</f>
        <v>20.060982280394075</v>
      </c>
      <c r="M37" s="47">
        <f>K37*Assumptions!$B$34</f>
        <v>2.8337570398362382</v>
      </c>
      <c r="N37" s="47">
        <f>G37*(Assumptions!G16*(1+Assumptions!$B$33)+Assumptions!$B$35*(1+Assumptions!$B$33))</f>
        <v>2.838560758042155</v>
      </c>
      <c r="O37" s="47">
        <f>K37*Assumptions!$B$36*(1+Assumptions!$B$33)</f>
        <v>1.7682643928578126</v>
      </c>
      <c r="P37" s="50">
        <f t="shared" si="7"/>
        <v>27.501564471130283</v>
      </c>
      <c r="Q37" s="50">
        <f t="shared" si="8"/>
        <v>10.281862726686224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46">
        <v>46569</v>
      </c>
      <c r="B38" s="17" t="s">
        <v>42</v>
      </c>
      <c r="C38" s="50">
        <f t="shared" si="4"/>
        <v>156.55647270313696</v>
      </c>
      <c r="D38" s="47">
        <f>C38*(Assumptions!$B$29+Assumptions!$B$28)/12</f>
        <v>1.5655647270313697</v>
      </c>
      <c r="E38" s="47">
        <f>C38*Assumptions!$B$29/12</f>
        <v>1.3046372725261415</v>
      </c>
      <c r="F38" s="50">
        <f t="shared" si="5"/>
        <v>156.81740015764217</v>
      </c>
      <c r="G38" s="50">
        <f t="shared" si="6"/>
        <v>156.68693643038955</v>
      </c>
      <c r="H38" s="47">
        <f>G38*Assumptions!C17</f>
        <v>122.21581041570386</v>
      </c>
      <c r="I38" s="48">
        <f>MAX(0,MIN(0.95,Assumptions!D17+Assumptions!$B$30))</f>
        <v>0.73</v>
      </c>
      <c r="J38" s="49">
        <f>Assumptions!E17*(1+Assumptions!$B$31)</f>
        <v>2008.5</v>
      </c>
      <c r="K38" s="47">
        <f>H38*I38*Assumptions!$B$21*J38/1000000</f>
        <v>28.670949169689131</v>
      </c>
      <c r="L38" s="47">
        <f>G38*Assumptions!F17*(1+Assumptions!$B$32)</f>
        <v>16.452128325190905</v>
      </c>
      <c r="M38" s="47">
        <f>K38*Assumptions!$B$34</f>
        <v>2.1503211877266848</v>
      </c>
      <c r="N38" s="47">
        <f>G38*(Assumptions!G17*(1+Assumptions!$B$33)+Assumptions!$B$35*(1+Assumptions!$B$33))</f>
        <v>2.2813617944264721</v>
      </c>
      <c r="O38" s="47">
        <f>K38*Assumptions!$B$36*(1+Assumptions!$B$33)</f>
        <v>1.3418004211414514</v>
      </c>
      <c r="P38" s="50">
        <f t="shared" si="7"/>
        <v>22.225611728485514</v>
      </c>
      <c r="Q38" s="50">
        <f t="shared" si="8"/>
        <v>6.4453374412036162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46">
        <v>46600</v>
      </c>
      <c r="B39" s="17" t="s">
        <v>38</v>
      </c>
      <c r="C39" s="50">
        <f t="shared" si="4"/>
        <v>146.70014853456848</v>
      </c>
      <c r="D39" s="47">
        <f>C39*(Assumptions!$B$29+Assumptions!$B$28)/12</f>
        <v>1.467001485345685</v>
      </c>
      <c r="E39" s="47">
        <f>C39*Assumptions!$B$29/12</f>
        <v>1.2225012377880706</v>
      </c>
      <c r="F39" s="50">
        <f t="shared" si="5"/>
        <v>146.94464878212611</v>
      </c>
      <c r="G39" s="50">
        <f t="shared" si="6"/>
        <v>146.82239865834731</v>
      </c>
      <c r="H39" s="47">
        <f>G39*Assumptions!C13</f>
        <v>120.39436689984478</v>
      </c>
      <c r="I39" s="48">
        <f>MAX(0,MIN(0.95,Assumptions!D13+Assumptions!$B$30))</f>
        <v>0.77</v>
      </c>
      <c r="J39" s="49">
        <f>Assumptions!E13*(1+Assumptions!$B$31)</f>
        <v>2317.5</v>
      </c>
      <c r="K39" s="47">
        <f>H39*I39*Assumptions!$B$21*J39/1000000</f>
        <v>34.374518059776079</v>
      </c>
      <c r="L39" s="47">
        <f>G39*Assumptions!F13*(1+Assumptions!$B$32)</f>
        <v>17.728804637995442</v>
      </c>
      <c r="M39" s="47">
        <f>K39*Assumptions!$B$34</f>
        <v>2.5780888544832057</v>
      </c>
      <c r="N39" s="47">
        <f>G39*(Assumptions!G13*(1+Assumptions!$B$33)+Assumptions!$B$35*(1+Assumptions!$B$33))</f>
        <v>2.4431247136748997</v>
      </c>
      <c r="O39" s="47">
        <f>K39*Assumptions!$B$36*(1+Assumptions!$B$33)</f>
        <v>1.6087274451975206</v>
      </c>
      <c r="P39" s="50">
        <f t="shared" si="7"/>
        <v>24.358745651351068</v>
      </c>
      <c r="Q39" s="50">
        <f t="shared" si="8"/>
        <v>10.015772408425011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46">
        <v>46600</v>
      </c>
      <c r="B40" s="17" t="s">
        <v>39</v>
      </c>
      <c r="C40" s="50">
        <f t="shared" si="4"/>
        <v>126.4656452884211</v>
      </c>
      <c r="D40" s="47">
        <f>C40*(Assumptions!$B$29+Assumptions!$B$28)/12</f>
        <v>1.2646564528842112</v>
      </c>
      <c r="E40" s="47">
        <f>C40*Assumptions!$B$29/12</f>
        <v>1.0538803774035093</v>
      </c>
      <c r="F40" s="50">
        <f t="shared" si="5"/>
        <v>126.6764213639018</v>
      </c>
      <c r="G40" s="50">
        <f t="shared" si="6"/>
        <v>126.57103332616146</v>
      </c>
      <c r="H40" s="47">
        <f>G40*Assumptions!C14</f>
        <v>106.31966799397561</v>
      </c>
      <c r="I40" s="48">
        <f>MAX(0,MIN(0.95,Assumptions!D14+Assumptions!$B$30))</f>
        <v>0.79</v>
      </c>
      <c r="J40" s="49">
        <f>Assumptions!E14*(1+Assumptions!$B$31)</f>
        <v>2472</v>
      </c>
      <c r="K40" s="47">
        <f>H40*I40*Assumptions!$B$21*J40/1000000</f>
        <v>33.220728517132024</v>
      </c>
      <c r="L40" s="47">
        <f>G40*Assumptions!F14*(1+Assumptions!$B$32)</f>
        <v>15.947950199096343</v>
      </c>
      <c r="M40" s="47">
        <f>K40*Assumptions!$B$34</f>
        <v>2.4915546387849017</v>
      </c>
      <c r="N40" s="47">
        <f>G40*(Assumptions!G14*(1+Assumptions!$B$33)+Assumptions!$B$35*(1+Assumptions!$B$33))</f>
        <v>2.2377758692065348</v>
      </c>
      <c r="O40" s="47">
        <f>K40*Assumptions!$B$36*(1+Assumptions!$B$33)</f>
        <v>1.5547300946017786</v>
      </c>
      <c r="P40" s="50">
        <f t="shared" si="7"/>
        <v>22.232010801689558</v>
      </c>
      <c r="Q40" s="50">
        <f t="shared" si="8"/>
        <v>10.988717715442466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46">
        <v>46600</v>
      </c>
      <c r="B41" s="17" t="s">
        <v>40</v>
      </c>
      <c r="C41" s="50">
        <f t="shared" ref="C41:C63" si="9">F36</f>
        <v>96.113890419200047</v>
      </c>
      <c r="D41" s="47">
        <f>C41*(Assumptions!$B$29+Assumptions!$B$28)/12</f>
        <v>0.96113890419200054</v>
      </c>
      <c r="E41" s="47">
        <f>C41*Assumptions!$B$29/12</f>
        <v>0.80094908682666721</v>
      </c>
      <c r="F41" s="50">
        <f t="shared" si="5"/>
        <v>96.274080236565382</v>
      </c>
      <c r="G41" s="50">
        <f t="shared" si="6"/>
        <v>96.193985327882714</v>
      </c>
      <c r="H41" s="47">
        <f>G41*Assumptions!C15</f>
        <v>82.726827381979135</v>
      </c>
      <c r="I41" s="48">
        <f>MAX(0,MIN(0.95,Assumptions!D15+Assumptions!$B$30))</f>
        <v>0.80999999999999994</v>
      </c>
      <c r="J41" s="49">
        <f>Assumptions!E15*(1+Assumptions!$B$31)</f>
        <v>2678</v>
      </c>
      <c r="K41" s="47">
        <f>H41*I41*Assumptions!$B$21*J41/1000000</f>
        <v>28.711900707270633</v>
      </c>
      <c r="L41" s="47">
        <f>G41*Assumptions!F15*(1+Assumptions!$B$32)</f>
        <v>13.130478997255992</v>
      </c>
      <c r="M41" s="47">
        <f>K41*Assumptions!$B$34</f>
        <v>2.1533925530452973</v>
      </c>
      <c r="N41" s="47">
        <f>G41*(Assumptions!G15*(1+Assumptions!$B$33)+Assumptions!$B$35*(1+Assumptions!$B$33))</f>
        <v>1.8007514053379645</v>
      </c>
      <c r="O41" s="47">
        <f>K41*Assumptions!$B$36*(1+Assumptions!$B$33)</f>
        <v>1.3437169531002655</v>
      </c>
      <c r="P41" s="50">
        <f t="shared" si="7"/>
        <v>18.42833990873952</v>
      </c>
      <c r="Q41" s="50">
        <f t="shared" si="8"/>
        <v>10.283560798531113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46">
        <v>46600</v>
      </c>
      <c r="B42" s="17" t="s">
        <v>41</v>
      </c>
      <c r="C42" s="50">
        <f t="shared" si="9"/>
        <v>182.11052921532644</v>
      </c>
      <c r="D42" s="47">
        <f>C42*(Assumptions!$B$29+Assumptions!$B$28)/12</f>
        <v>1.8211052921532644</v>
      </c>
      <c r="E42" s="47">
        <f>C42*Assumptions!$B$29/12</f>
        <v>1.5175877434610536</v>
      </c>
      <c r="F42" s="50">
        <f t="shared" si="5"/>
        <v>182.41404676401865</v>
      </c>
      <c r="G42" s="50">
        <f t="shared" si="6"/>
        <v>182.26228798967253</v>
      </c>
      <c r="H42" s="47">
        <f>G42*Assumptions!C16</f>
        <v>145.80983039173802</v>
      </c>
      <c r="I42" s="48">
        <f>MAX(0,MIN(0.95,Assumptions!D16+Assumptions!$B$30))</f>
        <v>0.75</v>
      </c>
      <c r="J42" s="49">
        <f>Assumptions!E16*(1+Assumptions!$B$31)</f>
        <v>2163</v>
      </c>
      <c r="K42" s="47">
        <f>H42*I42*Assumptions!$B$21*J42/1000000</f>
        <v>37.84639957647952</v>
      </c>
      <c r="L42" s="47">
        <f>G42*Assumptions!F16*(1+Assumptions!$B$32)</f>
        <v>20.094417250861397</v>
      </c>
      <c r="M42" s="47">
        <f>K42*Assumptions!$B$34</f>
        <v>2.8384799682359638</v>
      </c>
      <c r="N42" s="47">
        <f>G42*(Assumptions!G16*(1+Assumptions!$B$33)+Assumptions!$B$35*(1+Assumptions!$B$33))</f>
        <v>2.8432916926388918</v>
      </c>
      <c r="O42" s="47">
        <f>K42*Assumptions!$B$36*(1+Assumptions!$B$33)</f>
        <v>1.7712115001792417</v>
      </c>
      <c r="P42" s="50">
        <f t="shared" si="7"/>
        <v>27.547400411915497</v>
      </c>
      <c r="Q42" s="50">
        <f t="shared" si="8"/>
        <v>10.298999164564023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46">
        <v>46600</v>
      </c>
      <c r="B43" s="17" t="s">
        <v>42</v>
      </c>
      <c r="C43" s="50">
        <f t="shared" si="9"/>
        <v>156.81740015764217</v>
      </c>
      <c r="D43" s="47">
        <f>C43*(Assumptions!$B$29+Assumptions!$B$28)/12</f>
        <v>1.5681740015764218</v>
      </c>
      <c r="E43" s="47">
        <f>C43*Assumptions!$B$29/12</f>
        <v>1.3068116679803514</v>
      </c>
      <c r="F43" s="50">
        <f t="shared" si="5"/>
        <v>157.07876249123822</v>
      </c>
      <c r="G43" s="50">
        <f t="shared" si="6"/>
        <v>156.94808132444018</v>
      </c>
      <c r="H43" s="47">
        <f>G43*Assumptions!C17</f>
        <v>122.41950343306334</v>
      </c>
      <c r="I43" s="48">
        <f>MAX(0,MIN(0.95,Assumptions!D17+Assumptions!$B$30))</f>
        <v>0.73</v>
      </c>
      <c r="J43" s="49">
        <f>Assumptions!E17*(1+Assumptions!$B$31)</f>
        <v>2008.5</v>
      </c>
      <c r="K43" s="47">
        <f>H43*I43*Assumptions!$B$21*J43/1000000</f>
        <v>28.718734084971942</v>
      </c>
      <c r="L43" s="47">
        <f>G43*Assumptions!F17*(1+Assumptions!$B$32)</f>
        <v>16.479548539066219</v>
      </c>
      <c r="M43" s="47">
        <f>K43*Assumptions!$B$34</f>
        <v>2.1539050563728956</v>
      </c>
      <c r="N43" s="47">
        <f>G43*(Assumptions!G17*(1+Assumptions!$B$33)+Assumptions!$B$35*(1+Assumptions!$B$33))</f>
        <v>2.2851640640838493</v>
      </c>
      <c r="O43" s="47">
        <f>K43*Assumptions!$B$36*(1+Assumptions!$B$33)</f>
        <v>1.344036755176687</v>
      </c>
      <c r="P43" s="50">
        <f t="shared" si="7"/>
        <v>22.262654414699654</v>
      </c>
      <c r="Q43" s="50">
        <f t="shared" si="8"/>
        <v>6.4560796702722882</v>
      </c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46">
        <v>46631</v>
      </c>
      <c r="B44" s="17" t="s">
        <v>38</v>
      </c>
      <c r="C44" s="50">
        <f t="shared" si="9"/>
        <v>146.94464878212611</v>
      </c>
      <c r="D44" s="47">
        <f>C44*(Assumptions!$B$29+Assumptions!$B$28)/12</f>
        <v>1.4694464878212612</v>
      </c>
      <c r="E44" s="47">
        <f>C44*Assumptions!$B$29/12</f>
        <v>1.224538739851051</v>
      </c>
      <c r="F44" s="50">
        <f t="shared" si="5"/>
        <v>147.18955653009633</v>
      </c>
      <c r="G44" s="50">
        <f t="shared" si="6"/>
        <v>147.06710265611122</v>
      </c>
      <c r="H44" s="47">
        <f>G44*Assumptions!C13</f>
        <v>120.59502417801119</v>
      </c>
      <c r="I44" s="48">
        <f>MAX(0,MIN(0.95,Assumptions!D13+Assumptions!$B$30))</f>
        <v>0.77</v>
      </c>
      <c r="J44" s="49">
        <f>Assumptions!E13*(1+Assumptions!$B$31)</f>
        <v>2317.5</v>
      </c>
      <c r="K44" s="47">
        <f>H44*I44*Assumptions!$B$21*J44/1000000</f>
        <v>34.43180892320904</v>
      </c>
      <c r="L44" s="47">
        <f>G44*Assumptions!F13*(1+Assumptions!$B$32)</f>
        <v>17.758352645725431</v>
      </c>
      <c r="M44" s="47">
        <f>K44*Assumptions!$B$34</f>
        <v>2.5823856692406779</v>
      </c>
      <c r="N44" s="47">
        <f>G44*(Assumptions!G13*(1+Assumptions!$B$33)+Assumptions!$B$35*(1+Assumptions!$B$33))</f>
        <v>2.4471965881976909</v>
      </c>
      <c r="O44" s="47">
        <f>K44*Assumptions!$B$36*(1+Assumptions!$B$33)</f>
        <v>1.6114086576061832</v>
      </c>
      <c r="P44" s="50">
        <f t="shared" si="7"/>
        <v>24.399343560769985</v>
      </c>
      <c r="Q44" s="50">
        <f t="shared" si="8"/>
        <v>10.032465362439055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46">
        <v>46631</v>
      </c>
      <c r="B45" s="17" t="s">
        <v>39</v>
      </c>
      <c r="C45" s="50">
        <f t="shared" si="9"/>
        <v>126.6764213639018</v>
      </c>
      <c r="D45" s="47">
        <f>C45*(Assumptions!$B$29+Assumptions!$B$28)/12</f>
        <v>1.266764213639018</v>
      </c>
      <c r="E45" s="47">
        <f>C45*Assumptions!$B$29/12</f>
        <v>1.0556368446991817</v>
      </c>
      <c r="F45" s="50">
        <f t="shared" si="5"/>
        <v>126.88754873284164</v>
      </c>
      <c r="G45" s="50">
        <f t="shared" si="6"/>
        <v>126.78198504837172</v>
      </c>
      <c r="H45" s="47">
        <f>G45*Assumptions!C14</f>
        <v>106.49686744063224</v>
      </c>
      <c r="I45" s="48">
        <f>MAX(0,MIN(0.95,Assumptions!D14+Assumptions!$B$30))</f>
        <v>0.79</v>
      </c>
      <c r="J45" s="49">
        <f>Assumptions!E14*(1+Assumptions!$B$31)</f>
        <v>2472</v>
      </c>
      <c r="K45" s="47">
        <f>H45*I45*Assumptions!$B$21*J45/1000000</f>
        <v>33.276096397993911</v>
      </c>
      <c r="L45" s="47">
        <f>G45*Assumptions!F14*(1+Assumptions!$B$32)</f>
        <v>15.974530116094837</v>
      </c>
      <c r="M45" s="47">
        <f>K45*Assumptions!$B$34</f>
        <v>2.4957072298495433</v>
      </c>
      <c r="N45" s="47">
        <f>G45*(Assumptions!G14*(1+Assumptions!$B$33)+Assumptions!$B$35*(1+Assumptions!$B$33))</f>
        <v>2.2415054956552121</v>
      </c>
      <c r="O45" s="47">
        <f>K45*Assumptions!$B$36*(1+Assumptions!$B$33)</f>
        <v>1.5573213114261149</v>
      </c>
      <c r="P45" s="50">
        <f t="shared" si="7"/>
        <v>22.269064153025706</v>
      </c>
      <c r="Q45" s="50">
        <f t="shared" si="8"/>
        <v>11.007032244968205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46">
        <v>46631</v>
      </c>
      <c r="B46" s="17" t="s">
        <v>40</v>
      </c>
      <c r="C46" s="50">
        <f t="shared" si="9"/>
        <v>96.274080236565382</v>
      </c>
      <c r="D46" s="47">
        <f>C46*(Assumptions!$B$29+Assumptions!$B$28)/12</f>
        <v>0.96274080236565396</v>
      </c>
      <c r="E46" s="47">
        <f>C46*Assumptions!$B$29/12</f>
        <v>0.80228400197137828</v>
      </c>
      <c r="F46" s="50">
        <f t="shared" si="5"/>
        <v>96.434537036959668</v>
      </c>
      <c r="G46" s="50">
        <f t="shared" si="6"/>
        <v>96.354308636762525</v>
      </c>
      <c r="H46" s="47">
        <f>G46*Assumptions!C15</f>
        <v>82.864705427615775</v>
      </c>
      <c r="I46" s="48">
        <f>MAX(0,MIN(0.95,Assumptions!D15+Assumptions!$B$30))</f>
        <v>0.80999999999999994</v>
      </c>
      <c r="J46" s="49">
        <f>Assumptions!E15*(1+Assumptions!$B$31)</f>
        <v>2678</v>
      </c>
      <c r="K46" s="47">
        <f>H46*I46*Assumptions!$B$21*J46/1000000</f>
        <v>28.759753875116086</v>
      </c>
      <c r="L46" s="47">
        <f>G46*Assumptions!F15*(1+Assumptions!$B$32)</f>
        <v>13.152363128918086</v>
      </c>
      <c r="M46" s="47">
        <f>K46*Assumptions!$B$34</f>
        <v>2.1569815406337063</v>
      </c>
      <c r="N46" s="47">
        <f>G46*(Assumptions!G15*(1+Assumptions!$B$33)+Assumptions!$B$35*(1+Assumptions!$B$33))</f>
        <v>1.8037526576801945</v>
      </c>
      <c r="O46" s="47">
        <f>K46*Assumptions!$B$36*(1+Assumptions!$B$33)</f>
        <v>1.3459564813554328</v>
      </c>
      <c r="P46" s="50">
        <f t="shared" si="7"/>
        <v>18.45905380858742</v>
      </c>
      <c r="Q46" s="50">
        <f t="shared" si="8"/>
        <v>10.300700066528666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46">
        <v>46631</v>
      </c>
      <c r="B47" s="17" t="s">
        <v>41</v>
      </c>
      <c r="C47" s="50">
        <f t="shared" si="9"/>
        <v>182.41404676401865</v>
      </c>
      <c r="D47" s="47">
        <f>C47*(Assumptions!$B$29+Assumptions!$B$28)/12</f>
        <v>1.8241404676401867</v>
      </c>
      <c r="E47" s="47">
        <f>C47*Assumptions!$B$29/12</f>
        <v>1.5201170563668223</v>
      </c>
      <c r="F47" s="50">
        <f t="shared" si="5"/>
        <v>182.71807017529201</v>
      </c>
      <c r="G47" s="50">
        <f t="shared" si="6"/>
        <v>182.56605846965533</v>
      </c>
      <c r="H47" s="47">
        <f>G47*Assumptions!C16</f>
        <v>146.05284677572428</v>
      </c>
      <c r="I47" s="48">
        <f>MAX(0,MIN(0.95,Assumptions!D16+Assumptions!$B$30))</f>
        <v>0.75</v>
      </c>
      <c r="J47" s="49">
        <f>Assumptions!E16*(1+Assumptions!$B$31)</f>
        <v>2163</v>
      </c>
      <c r="K47" s="47">
        <f>H47*I47*Assumptions!$B$21*J47/1000000</f>
        <v>37.909476909106992</v>
      </c>
      <c r="L47" s="47">
        <f>G47*Assumptions!F16*(1+Assumptions!$B$32)</f>
        <v>20.1279079462795</v>
      </c>
      <c r="M47" s="47">
        <f>K47*Assumptions!$B$34</f>
        <v>2.8432107681830243</v>
      </c>
      <c r="N47" s="47">
        <f>G47*(Assumptions!G16*(1+Assumptions!$B$33)+Assumptions!$B$35*(1+Assumptions!$B$33))</f>
        <v>2.8480305121266234</v>
      </c>
      <c r="O47" s="47">
        <f>K47*Assumptions!$B$36*(1+Assumptions!$B$33)</f>
        <v>1.7741635193462073</v>
      </c>
      <c r="P47" s="50">
        <f t="shared" si="7"/>
        <v>27.593312745935354</v>
      </c>
      <c r="Q47" s="50">
        <f t="shared" si="8"/>
        <v>10.316164163171639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46">
        <v>46631</v>
      </c>
      <c r="B48" s="17" t="s">
        <v>42</v>
      </c>
      <c r="C48" s="50">
        <f t="shared" si="9"/>
        <v>157.07876249123822</v>
      </c>
      <c r="D48" s="47">
        <f>C48*(Assumptions!$B$29+Assumptions!$B$28)/12</f>
        <v>1.5707876249123824</v>
      </c>
      <c r="E48" s="47">
        <f>C48*Assumptions!$B$29/12</f>
        <v>1.3089896874269853</v>
      </c>
      <c r="F48" s="50">
        <f t="shared" si="5"/>
        <v>157.34056042872362</v>
      </c>
      <c r="G48" s="50">
        <f t="shared" si="6"/>
        <v>157.20966145998091</v>
      </c>
      <c r="H48" s="47">
        <f>G48*Assumptions!C17</f>
        <v>122.62353593878511</v>
      </c>
      <c r="I48" s="48">
        <f>MAX(0,MIN(0.95,Assumptions!D17+Assumptions!$B$30))</f>
        <v>0.73</v>
      </c>
      <c r="J48" s="49">
        <f>Assumptions!E17*(1+Assumptions!$B$31)</f>
        <v>2008.5</v>
      </c>
      <c r="K48" s="47">
        <f>H48*I48*Assumptions!$B$21*J48/1000000</f>
        <v>28.766598641780224</v>
      </c>
      <c r="L48" s="47">
        <f>G48*Assumptions!F17*(1+Assumptions!$B$32)</f>
        <v>16.507014453297995</v>
      </c>
      <c r="M48" s="47">
        <f>K48*Assumptions!$B$34</f>
        <v>2.1574948981335167</v>
      </c>
      <c r="N48" s="47">
        <f>G48*(Assumptions!G17*(1+Assumptions!$B$33)+Assumptions!$B$35*(1+Assumptions!$B$33))</f>
        <v>2.2889726708573224</v>
      </c>
      <c r="O48" s="47">
        <f>K48*Assumptions!$B$36*(1+Assumptions!$B$33)</f>
        <v>1.3462768164353145</v>
      </c>
      <c r="P48" s="50">
        <f t="shared" si="7"/>
        <v>22.299758838724149</v>
      </c>
      <c r="Q48" s="50">
        <f t="shared" si="8"/>
        <v>6.4668398030560752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46">
        <v>46661</v>
      </c>
      <c r="B49" s="17" t="s">
        <v>38</v>
      </c>
      <c r="C49" s="50">
        <f t="shared" si="9"/>
        <v>147.18955653009633</v>
      </c>
      <c r="D49" s="47">
        <f>C49*(Assumptions!$B$29+Assumptions!$B$28)/12</f>
        <v>1.4718955653009633</v>
      </c>
      <c r="E49" s="47">
        <f>C49*Assumptions!$B$29/12</f>
        <v>1.2265796377508027</v>
      </c>
      <c r="F49" s="50">
        <f t="shared" si="5"/>
        <v>147.43487245764649</v>
      </c>
      <c r="G49" s="50">
        <f t="shared" si="6"/>
        <v>147.31221449387141</v>
      </c>
      <c r="H49" s="47">
        <f>G49*Assumptions!C13</f>
        <v>120.79601588497455</v>
      </c>
      <c r="I49" s="48">
        <f>MAX(0,MIN(0.95,Assumptions!D13+Assumptions!$B$30))</f>
        <v>0.77</v>
      </c>
      <c r="J49" s="49">
        <f>Assumptions!E13*(1+Assumptions!$B$31)</f>
        <v>2317.5</v>
      </c>
      <c r="K49" s="47">
        <f>H49*I49*Assumptions!$B$21*J49/1000000</f>
        <v>34.489195271414403</v>
      </c>
      <c r="L49" s="47">
        <f>G49*Assumptions!F13*(1+Assumptions!$B$32)</f>
        <v>17.787949900134976</v>
      </c>
      <c r="M49" s="47">
        <f>K49*Assumptions!$B$34</f>
        <v>2.5866896453560799</v>
      </c>
      <c r="N49" s="47">
        <f>G49*(Assumptions!G13*(1+Assumptions!$B$33)+Assumptions!$B$35*(1+Assumptions!$B$33))</f>
        <v>2.4512752491780208</v>
      </c>
      <c r="O49" s="47">
        <f>K49*Assumptions!$B$36*(1+Assumptions!$B$33)</f>
        <v>1.6140943387021942</v>
      </c>
      <c r="P49" s="50">
        <f t="shared" si="7"/>
        <v>24.440009133371273</v>
      </c>
      <c r="Q49" s="50">
        <f t="shared" si="8"/>
        <v>10.04918613804313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46">
        <v>46661</v>
      </c>
      <c r="B50" s="17" t="s">
        <v>39</v>
      </c>
      <c r="C50" s="50">
        <f t="shared" si="9"/>
        <v>126.88754873284164</v>
      </c>
      <c r="D50" s="47">
        <f>C50*(Assumptions!$B$29+Assumptions!$B$28)/12</f>
        <v>1.2688754873284165</v>
      </c>
      <c r="E50" s="47">
        <f>C50*Assumptions!$B$29/12</f>
        <v>1.0573962394403471</v>
      </c>
      <c r="F50" s="50">
        <f t="shared" si="5"/>
        <v>127.09902798072972</v>
      </c>
      <c r="G50" s="50">
        <f t="shared" si="6"/>
        <v>126.99328835678568</v>
      </c>
      <c r="H50" s="47">
        <f>G50*Assumptions!C14</f>
        <v>106.67436221969997</v>
      </c>
      <c r="I50" s="48">
        <f>MAX(0,MIN(0.95,Assumptions!D14+Assumptions!$B$30))</f>
        <v>0.79</v>
      </c>
      <c r="J50" s="49">
        <f>Assumptions!E14*(1+Assumptions!$B$31)</f>
        <v>2472</v>
      </c>
      <c r="K50" s="47">
        <f>H50*I50*Assumptions!$B$21*J50/1000000</f>
        <v>33.331556558657226</v>
      </c>
      <c r="L50" s="47">
        <f>G50*Assumptions!F14*(1+Assumptions!$B$32)</f>
        <v>16.001154332954997</v>
      </c>
      <c r="M50" s="47">
        <f>K50*Assumptions!$B$34</f>
        <v>2.4998667418992917</v>
      </c>
      <c r="N50" s="47">
        <f>G50*(Assumptions!G14*(1+Assumptions!$B$33)+Assumptions!$B$35*(1+Assumptions!$B$33))</f>
        <v>2.245241338147971</v>
      </c>
      <c r="O50" s="47">
        <f>K50*Assumptions!$B$36*(1+Assumptions!$B$33)</f>
        <v>1.5599168469451581</v>
      </c>
      <c r="P50" s="50">
        <f t="shared" si="7"/>
        <v>22.306179259947417</v>
      </c>
      <c r="Q50" s="50">
        <f t="shared" si="8"/>
        <v>11.02537729870981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46">
        <v>46661</v>
      </c>
      <c r="B51" s="17" t="s">
        <v>40</v>
      </c>
      <c r="C51" s="50">
        <f t="shared" si="9"/>
        <v>96.434537036959668</v>
      </c>
      <c r="D51" s="47">
        <f>C51*(Assumptions!$B$29+Assumptions!$B$28)/12</f>
        <v>0.96434537036959667</v>
      </c>
      <c r="E51" s="47">
        <f>C51*Assumptions!$B$29/12</f>
        <v>0.80362114197466405</v>
      </c>
      <c r="F51" s="50">
        <f t="shared" si="5"/>
        <v>96.595261265354608</v>
      </c>
      <c r="G51" s="50">
        <f t="shared" si="6"/>
        <v>96.514899151157138</v>
      </c>
      <c r="H51" s="47">
        <f>G51*Assumptions!C15</f>
        <v>83.002813269995144</v>
      </c>
      <c r="I51" s="48">
        <f>MAX(0,MIN(0.95,Assumptions!D15+Assumptions!$B$30))</f>
        <v>0.80999999999999994</v>
      </c>
      <c r="J51" s="49">
        <f>Assumptions!E15*(1+Assumptions!$B$31)</f>
        <v>2678</v>
      </c>
      <c r="K51" s="47">
        <f>H51*I51*Assumptions!$B$21*J51/1000000</f>
        <v>28.807686798241289</v>
      </c>
      <c r="L51" s="47">
        <f>G51*Assumptions!F15*(1+Assumptions!$B$32)</f>
        <v>13.174283734132951</v>
      </c>
      <c r="M51" s="47">
        <f>K51*Assumptions!$B$34</f>
        <v>2.1605765098680965</v>
      </c>
      <c r="N51" s="47">
        <f>G51*(Assumptions!G15*(1+Assumptions!$B$33)+Assumptions!$B$35*(1+Assumptions!$B$33))</f>
        <v>1.8067589121096617</v>
      </c>
      <c r="O51" s="47">
        <f>K51*Assumptions!$B$36*(1+Assumptions!$B$33)</f>
        <v>1.3481997421576923</v>
      </c>
      <c r="P51" s="50">
        <f t="shared" si="7"/>
        <v>18.489818898268403</v>
      </c>
      <c r="Q51" s="50">
        <f t="shared" si="8"/>
        <v>10.317867899972885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46">
        <v>46661</v>
      </c>
      <c r="B52" s="17" t="s">
        <v>41</v>
      </c>
      <c r="C52" s="50">
        <f t="shared" si="9"/>
        <v>182.71807017529201</v>
      </c>
      <c r="D52" s="47">
        <f>C52*(Assumptions!$B$29+Assumptions!$B$28)/12</f>
        <v>1.8271807017529202</v>
      </c>
      <c r="E52" s="47">
        <f>C52*Assumptions!$B$29/12</f>
        <v>1.5226505847941001</v>
      </c>
      <c r="F52" s="50">
        <f t="shared" si="5"/>
        <v>183.02260029225084</v>
      </c>
      <c r="G52" s="50">
        <f t="shared" si="6"/>
        <v>182.87033523377141</v>
      </c>
      <c r="H52" s="47">
        <f>G52*Assumptions!C16</f>
        <v>146.29626818701715</v>
      </c>
      <c r="I52" s="48">
        <f>MAX(0,MIN(0.95,Assumptions!D16+Assumptions!$B$30))</f>
        <v>0.75</v>
      </c>
      <c r="J52" s="49">
        <f>Assumptions!E16*(1+Assumptions!$B$31)</f>
        <v>2163</v>
      </c>
      <c r="K52" s="47">
        <f>H52*I52*Assumptions!$B$21*J52/1000000</f>
        <v>37.972659370622175</v>
      </c>
      <c r="L52" s="47">
        <f>G52*Assumptions!F16*(1+Assumptions!$B$32)</f>
        <v>20.161454459523299</v>
      </c>
      <c r="M52" s="47">
        <f>K52*Assumptions!$B$34</f>
        <v>2.8479494527966631</v>
      </c>
      <c r="N52" s="47">
        <f>G52*(Assumptions!G16*(1+Assumptions!$B$33)+Assumptions!$B$35*(1+Assumptions!$B$33))</f>
        <v>2.8527772296468341</v>
      </c>
      <c r="O52" s="47">
        <f>K52*Assumptions!$B$36*(1+Assumptions!$B$33)</f>
        <v>1.7771204585451179</v>
      </c>
      <c r="P52" s="50">
        <f t="shared" si="7"/>
        <v>27.63930160051191</v>
      </c>
      <c r="Q52" s="50">
        <f t="shared" si="8"/>
        <v>10.333357770110265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46">
        <v>46661</v>
      </c>
      <c r="B53" s="17" t="s">
        <v>42</v>
      </c>
      <c r="C53" s="50">
        <f t="shared" si="9"/>
        <v>157.34056042872362</v>
      </c>
      <c r="D53" s="47">
        <f>C53*(Assumptions!$B$29+Assumptions!$B$28)/12</f>
        <v>1.5734056042872364</v>
      </c>
      <c r="E53" s="47">
        <f>C53*Assumptions!$B$29/12</f>
        <v>1.3111713369060303</v>
      </c>
      <c r="F53" s="50">
        <f t="shared" si="5"/>
        <v>157.60279469610484</v>
      </c>
      <c r="G53" s="50">
        <f t="shared" si="6"/>
        <v>157.47167756241424</v>
      </c>
      <c r="H53" s="47">
        <f>G53*Assumptions!C17</f>
        <v>122.82790849868312</v>
      </c>
      <c r="I53" s="48">
        <f>MAX(0,MIN(0.95,Assumptions!D17+Assumptions!$B$30))</f>
        <v>0.73</v>
      </c>
      <c r="J53" s="49">
        <f>Assumptions!E17*(1+Assumptions!$B$31)</f>
        <v>2008.5</v>
      </c>
      <c r="K53" s="47">
        <f>H53*I53*Assumptions!$B$21*J53/1000000</f>
        <v>28.814542972849864</v>
      </c>
      <c r="L53" s="47">
        <f>G53*Assumptions!F17*(1+Assumptions!$B$32)</f>
        <v>16.534526144053498</v>
      </c>
      <c r="M53" s="47">
        <f>K53*Assumptions!$B$34</f>
        <v>2.1610907229637397</v>
      </c>
      <c r="N53" s="47">
        <f>G53*(Assumptions!G17*(1+Assumptions!$B$33)+Assumptions!$B$35*(1+Assumptions!$B$33))</f>
        <v>2.2927876253087516</v>
      </c>
      <c r="O53" s="47">
        <f>K53*Assumptions!$B$36*(1+Assumptions!$B$33)</f>
        <v>1.3485206111293735</v>
      </c>
      <c r="P53" s="50">
        <f t="shared" si="7"/>
        <v>22.336925103455361</v>
      </c>
      <c r="Q53" s="50">
        <f t="shared" si="8"/>
        <v>6.4776178693945035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46">
        <v>46692</v>
      </c>
      <c r="B54" s="17" t="s">
        <v>38</v>
      </c>
      <c r="C54" s="50">
        <f t="shared" si="9"/>
        <v>147.43487245764649</v>
      </c>
      <c r="D54" s="47">
        <f>C54*(Assumptions!$B$29+Assumptions!$B$28)/12</f>
        <v>1.4743487245764648</v>
      </c>
      <c r="E54" s="47">
        <f>C54*Assumptions!$B$29/12</f>
        <v>1.2286239371470542</v>
      </c>
      <c r="F54" s="50">
        <f t="shared" si="5"/>
        <v>147.68059724507589</v>
      </c>
      <c r="G54" s="50">
        <f t="shared" si="6"/>
        <v>147.5577348513612</v>
      </c>
      <c r="H54" s="47">
        <f>G54*Assumptions!C13</f>
        <v>120.99734257811618</v>
      </c>
      <c r="I54" s="48">
        <f>MAX(0,MIN(0.95,Assumptions!D13+Assumptions!$B$30))</f>
        <v>0.77</v>
      </c>
      <c r="J54" s="49">
        <f>Assumptions!E13*(1+Assumptions!$B$31)</f>
        <v>2317.5</v>
      </c>
      <c r="K54" s="47">
        <f>H54*I54*Assumptions!$B$21*J54/1000000</f>
        <v>34.546677263533411</v>
      </c>
      <c r="L54" s="47">
        <f>G54*Assumptions!F13*(1+Assumptions!$B$32)</f>
        <v>17.81759648330187</v>
      </c>
      <c r="M54" s="47">
        <f>K54*Assumptions!$B$34</f>
        <v>2.5910007947650056</v>
      </c>
      <c r="N54" s="47">
        <f>G54*(Assumptions!G13*(1+Assumptions!$B$33)+Assumptions!$B$35*(1+Assumptions!$B$33))</f>
        <v>2.4553607079266508</v>
      </c>
      <c r="O54" s="47">
        <f>K54*Assumptions!$B$36*(1+Assumptions!$B$33)</f>
        <v>1.6167844959333635</v>
      </c>
      <c r="P54" s="50">
        <f t="shared" si="7"/>
        <v>24.480742481926889</v>
      </c>
      <c r="Q54" s="50">
        <f t="shared" si="8"/>
        <v>10.065934781606522</v>
      </c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46">
        <v>46692</v>
      </c>
      <c r="B55" s="17" t="s">
        <v>39</v>
      </c>
      <c r="C55" s="50">
        <f t="shared" si="9"/>
        <v>127.09902798072972</v>
      </c>
      <c r="D55" s="47">
        <f>C55*(Assumptions!$B$29+Assumptions!$B$28)/12</f>
        <v>1.2709902798072974</v>
      </c>
      <c r="E55" s="47">
        <f>C55*Assumptions!$B$29/12</f>
        <v>1.059158566506081</v>
      </c>
      <c r="F55" s="50">
        <f t="shared" si="5"/>
        <v>127.31085969403094</v>
      </c>
      <c r="G55" s="50">
        <f t="shared" si="6"/>
        <v>127.20494383738033</v>
      </c>
      <c r="H55" s="47">
        <f>G55*Assumptions!C14</f>
        <v>106.85215282339946</v>
      </c>
      <c r="I55" s="48">
        <f>MAX(0,MIN(0.95,Assumptions!D14+Assumptions!$B$30))</f>
        <v>0.79</v>
      </c>
      <c r="J55" s="49">
        <f>Assumptions!E14*(1+Assumptions!$B$31)</f>
        <v>2472</v>
      </c>
      <c r="K55" s="47">
        <f>H55*I55*Assumptions!$B$21*J55/1000000</f>
        <v>33.38710915292166</v>
      </c>
      <c r="L55" s="47">
        <f>G55*Assumptions!F14*(1+Assumptions!$B$32)</f>
        <v>16.02782292350992</v>
      </c>
      <c r="M55" s="47">
        <f>K55*Assumptions!$B$34</f>
        <v>2.5040331864691243</v>
      </c>
      <c r="N55" s="47">
        <f>G55*(Assumptions!G14*(1+Assumptions!$B$33)+Assumptions!$B$35*(1+Assumptions!$B$33))</f>
        <v>2.2489834070448844</v>
      </c>
      <c r="O55" s="47">
        <f>K55*Assumptions!$B$36*(1+Assumptions!$B$33)</f>
        <v>1.5625167083567337</v>
      </c>
      <c r="P55" s="50">
        <f t="shared" si="7"/>
        <v>22.343356225380667</v>
      </c>
      <c r="Q55" s="50">
        <f t="shared" si="8"/>
        <v>11.043752927540993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46">
        <v>46692</v>
      </c>
      <c r="B56" s="17" t="s">
        <v>40</v>
      </c>
      <c r="C56" s="50">
        <f t="shared" si="9"/>
        <v>96.595261265354608</v>
      </c>
      <c r="D56" s="47">
        <f>C56*(Assumptions!$B$29+Assumptions!$B$28)/12</f>
        <v>0.96595261265354615</v>
      </c>
      <c r="E56" s="47">
        <f>C56*Assumptions!$B$29/12</f>
        <v>0.8049605105446217</v>
      </c>
      <c r="F56" s="50">
        <f t="shared" si="5"/>
        <v>96.756253367463543</v>
      </c>
      <c r="G56" s="50">
        <f t="shared" si="6"/>
        <v>96.675757316409076</v>
      </c>
      <c r="H56" s="47">
        <f>G56*Assumptions!C15</f>
        <v>83.1411512921118</v>
      </c>
      <c r="I56" s="48">
        <f>MAX(0,MIN(0.95,Assumptions!D15+Assumptions!$B$30))</f>
        <v>0.80999999999999994</v>
      </c>
      <c r="J56" s="49">
        <f>Assumptions!E15*(1+Assumptions!$B$31)</f>
        <v>2678</v>
      </c>
      <c r="K56" s="47">
        <f>H56*I56*Assumptions!$B$21*J56/1000000</f>
        <v>28.85569960957169</v>
      </c>
      <c r="L56" s="47">
        <f>G56*Assumptions!F15*(1+Assumptions!$B$32)</f>
        <v>13.19624087368984</v>
      </c>
      <c r="M56" s="47">
        <f>K56*Assumptions!$B$34</f>
        <v>2.1641774707178767</v>
      </c>
      <c r="N56" s="47">
        <f>G56*(Assumptions!G15*(1+Assumptions!$B$33)+Assumptions!$B$35*(1+Assumptions!$B$33))</f>
        <v>1.809770176963178</v>
      </c>
      <c r="O56" s="47">
        <f>K56*Assumptions!$B$36*(1+Assumptions!$B$33)</f>
        <v>1.3504467417279551</v>
      </c>
      <c r="P56" s="50">
        <f t="shared" si="7"/>
        <v>18.520635263098846</v>
      </c>
      <c r="Q56" s="50">
        <f t="shared" si="8"/>
        <v>10.335064346472844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46">
        <v>46692</v>
      </c>
      <c r="B57" s="17" t="s">
        <v>41</v>
      </c>
      <c r="C57" s="50">
        <f t="shared" si="9"/>
        <v>183.02260029225084</v>
      </c>
      <c r="D57" s="47">
        <f>C57*(Assumptions!$B$29+Assumptions!$B$28)/12</f>
        <v>1.8302260029225084</v>
      </c>
      <c r="E57" s="47">
        <f>C57*Assumptions!$B$29/12</f>
        <v>1.525188335768757</v>
      </c>
      <c r="F57" s="50">
        <f t="shared" si="5"/>
        <v>183.3276379594046</v>
      </c>
      <c r="G57" s="50">
        <f t="shared" si="6"/>
        <v>183.17511912582773</v>
      </c>
      <c r="H57" s="47">
        <f>G57*Assumptions!C16</f>
        <v>146.54009530066219</v>
      </c>
      <c r="I57" s="48">
        <f>MAX(0,MIN(0.95,Assumptions!D16+Assumptions!$B$30))</f>
        <v>0.75</v>
      </c>
      <c r="J57" s="49">
        <f>Assumptions!E16*(1+Assumptions!$B$31)</f>
        <v>2163</v>
      </c>
      <c r="K57" s="47">
        <f>H57*I57*Assumptions!$B$21*J57/1000000</f>
        <v>38.035947136239876</v>
      </c>
      <c r="L57" s="47">
        <f>G57*Assumptions!F16*(1+Assumptions!$B$32)</f>
        <v>20.19505688362251</v>
      </c>
      <c r="M57" s="47">
        <f>K57*Assumptions!$B$34</f>
        <v>2.8526960352179906</v>
      </c>
      <c r="N57" s="47">
        <f>G57*(Assumptions!G16*(1+Assumptions!$B$33)+Assumptions!$B$35*(1+Assumptions!$B$33))</f>
        <v>2.857531858362913</v>
      </c>
      <c r="O57" s="47">
        <f>K57*Assumptions!$B$36*(1+Assumptions!$B$33)</f>
        <v>1.7800823259760261</v>
      </c>
      <c r="P57" s="50">
        <f t="shared" si="7"/>
        <v>27.685367103179438</v>
      </c>
      <c r="Q57" s="50">
        <f t="shared" si="8"/>
        <v>10.350580033060439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46">
        <v>46692</v>
      </c>
      <c r="B58" s="17" t="s">
        <v>42</v>
      </c>
      <c r="C58" s="50">
        <f t="shared" si="9"/>
        <v>157.60279469610484</v>
      </c>
      <c r="D58" s="47">
        <f>C58*(Assumptions!$B$29+Assumptions!$B$28)/12</f>
        <v>1.5760279469610483</v>
      </c>
      <c r="E58" s="47">
        <f>C58*Assumptions!$B$29/12</f>
        <v>1.3133566224675404</v>
      </c>
      <c r="F58" s="50">
        <f t="shared" si="5"/>
        <v>157.86546602059835</v>
      </c>
      <c r="G58" s="50">
        <f t="shared" si="6"/>
        <v>157.73413035835159</v>
      </c>
      <c r="H58" s="47">
        <f>G58*Assumptions!C17</f>
        <v>123.03262167951425</v>
      </c>
      <c r="I58" s="48">
        <f>MAX(0,MIN(0.95,Assumptions!D17+Assumptions!$B$30))</f>
        <v>0.73</v>
      </c>
      <c r="J58" s="49">
        <f>Assumptions!E17*(1+Assumptions!$B$31)</f>
        <v>2008.5</v>
      </c>
      <c r="K58" s="47">
        <f>H58*I58*Assumptions!$B$21*J58/1000000</f>
        <v>28.86256721113795</v>
      </c>
      <c r="L58" s="47">
        <f>G58*Assumptions!F17*(1+Assumptions!$B$32)</f>
        <v>16.56208368762692</v>
      </c>
      <c r="M58" s="47">
        <f>K58*Assumptions!$B$34</f>
        <v>2.1646925408353463</v>
      </c>
      <c r="N58" s="47">
        <f>G58*(Assumptions!G17*(1+Assumptions!$B$33)+Assumptions!$B$35*(1+Assumptions!$B$33))</f>
        <v>2.2966089380175996</v>
      </c>
      <c r="O58" s="47">
        <f>K58*Assumptions!$B$36*(1+Assumptions!$B$33)</f>
        <v>1.3507681454812559</v>
      </c>
      <c r="P58" s="50">
        <f t="shared" si="7"/>
        <v>22.374153311961123</v>
      </c>
      <c r="Q58" s="50">
        <f t="shared" si="8"/>
        <v>6.4884138991768268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46">
        <v>46722</v>
      </c>
      <c r="B59" s="17" t="s">
        <v>38</v>
      </c>
      <c r="C59" s="50">
        <f t="shared" si="9"/>
        <v>147.68059724507589</v>
      </c>
      <c r="D59" s="47">
        <f>C59*(Assumptions!$B$29+Assumptions!$B$28)/12</f>
        <v>1.476805972450759</v>
      </c>
      <c r="E59" s="47">
        <f>C59*Assumptions!$B$29/12</f>
        <v>1.2306716437089658</v>
      </c>
      <c r="F59" s="50">
        <f t="shared" si="5"/>
        <v>147.92673157381768</v>
      </c>
      <c r="G59" s="50">
        <f t="shared" si="6"/>
        <v>147.80366440944678</v>
      </c>
      <c r="H59" s="47">
        <f>G59*Assumptions!C13</f>
        <v>121.19900481574635</v>
      </c>
      <c r="I59" s="48">
        <f>MAX(0,MIN(0.95,Assumptions!D13+Assumptions!$B$30))</f>
        <v>0.77</v>
      </c>
      <c r="J59" s="49">
        <f>Assumptions!E13*(1+Assumptions!$B$31)</f>
        <v>2317.5</v>
      </c>
      <c r="K59" s="47">
        <f>H59*I59*Assumptions!$B$21*J59/1000000</f>
        <v>34.604255058972633</v>
      </c>
      <c r="L59" s="47">
        <f>G59*Assumptions!F13*(1+Assumptions!$B$32)</f>
        <v>17.8472924774407</v>
      </c>
      <c r="M59" s="47">
        <f>K59*Assumptions!$B$34</f>
        <v>2.5953191294229474</v>
      </c>
      <c r="N59" s="47">
        <f>G59*(Assumptions!G13*(1+Assumptions!$B$33)+Assumptions!$B$35*(1+Assumptions!$B$33))</f>
        <v>2.4594529757731949</v>
      </c>
      <c r="O59" s="47">
        <f>K59*Assumptions!$B$36*(1+Assumptions!$B$33)</f>
        <v>1.6194791367599193</v>
      </c>
      <c r="P59" s="50">
        <f t="shared" si="7"/>
        <v>24.521543719396764</v>
      </c>
      <c r="Q59" s="50">
        <f t="shared" si="8"/>
        <v>10.082711339575869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46">
        <v>46722</v>
      </c>
      <c r="B60" s="17" t="s">
        <v>39</v>
      </c>
      <c r="C60" s="50">
        <f t="shared" si="9"/>
        <v>127.31085969403094</v>
      </c>
      <c r="D60" s="47">
        <f>C60*(Assumptions!$B$29+Assumptions!$B$28)/12</f>
        <v>1.2731085969403095</v>
      </c>
      <c r="E60" s="47">
        <f>C60*Assumptions!$B$29/12</f>
        <v>1.0609238307835913</v>
      </c>
      <c r="F60" s="50">
        <f t="shared" si="5"/>
        <v>127.52304446018766</v>
      </c>
      <c r="G60" s="50">
        <f t="shared" si="6"/>
        <v>127.4169520771093</v>
      </c>
      <c r="H60" s="47">
        <f>G60*Assumptions!C14</f>
        <v>107.03023974477181</v>
      </c>
      <c r="I60" s="48">
        <f>MAX(0,MIN(0.95,Assumptions!D14+Assumptions!$B$30))</f>
        <v>0.79</v>
      </c>
      <c r="J60" s="49">
        <f>Assumptions!E14*(1+Assumptions!$B$31)</f>
        <v>2472</v>
      </c>
      <c r="K60" s="47">
        <f>H60*I60*Assumptions!$B$21*J60/1000000</f>
        <v>33.442754334843194</v>
      </c>
      <c r="L60" s="47">
        <f>G60*Assumptions!F14*(1+Assumptions!$B$32)</f>
        <v>16.054535961715771</v>
      </c>
      <c r="M60" s="47">
        <f>K60*Assumptions!$B$34</f>
        <v>2.5082065751132396</v>
      </c>
      <c r="N60" s="47">
        <f>G60*(Assumptions!G14*(1+Assumptions!$B$33)+Assumptions!$B$35*(1+Assumptions!$B$33))</f>
        <v>2.2527317127232926</v>
      </c>
      <c r="O60" s="47">
        <f>K60*Assumptions!$B$36*(1+Assumptions!$B$33)</f>
        <v>1.5651209028706614</v>
      </c>
      <c r="P60" s="50">
        <f t="shared" si="7"/>
        <v>22.380595152422963</v>
      </c>
      <c r="Q60" s="50">
        <f t="shared" si="8"/>
        <v>11.062159182420231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46">
        <v>46722</v>
      </c>
      <c r="B61" s="17" t="s">
        <v>40</v>
      </c>
      <c r="C61" s="50">
        <f t="shared" si="9"/>
        <v>96.756253367463543</v>
      </c>
      <c r="D61" s="47">
        <f>C61*(Assumptions!$B$29+Assumptions!$B$28)/12</f>
        <v>0.96756253367463552</v>
      </c>
      <c r="E61" s="47">
        <f>C61*Assumptions!$B$29/12</f>
        <v>0.80630211139552965</v>
      </c>
      <c r="F61" s="50">
        <f t="shared" si="5"/>
        <v>96.917513789742657</v>
      </c>
      <c r="G61" s="50">
        <f t="shared" si="6"/>
        <v>96.836883578603107</v>
      </c>
      <c r="H61" s="47">
        <f>G61*Assumptions!C15</f>
        <v>83.279719877598666</v>
      </c>
      <c r="I61" s="48">
        <f>MAX(0,MIN(0.95,Assumptions!D15+Assumptions!$B$30))</f>
        <v>0.80999999999999994</v>
      </c>
      <c r="J61" s="49">
        <f>Assumptions!E15*(1+Assumptions!$B$31)</f>
        <v>2678</v>
      </c>
      <c r="K61" s="47">
        <f>H61*I61*Assumptions!$B$21*J61/1000000</f>
        <v>28.903792442254318</v>
      </c>
      <c r="L61" s="47">
        <f>G61*Assumptions!F15*(1+Assumptions!$B$32)</f>
        <v>13.218234608479325</v>
      </c>
      <c r="M61" s="47">
        <f>K61*Assumptions!$B$34</f>
        <v>2.1677844331690737</v>
      </c>
      <c r="N61" s="47">
        <f>G61*(Assumptions!G15*(1+Assumptions!$B$33)+Assumptions!$B$35*(1+Assumptions!$B$33))</f>
        <v>1.8127864605914503</v>
      </c>
      <c r="O61" s="47">
        <f>K61*Assumptions!$B$36*(1+Assumptions!$B$33)</f>
        <v>1.3526974862975019</v>
      </c>
      <c r="P61" s="50">
        <f t="shared" si="7"/>
        <v>18.551502988537351</v>
      </c>
      <c r="Q61" s="50">
        <f t="shared" si="8"/>
        <v>10.352289453716967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46">
        <v>46722</v>
      </c>
      <c r="B62" s="17" t="s">
        <v>41</v>
      </c>
      <c r="C62" s="50">
        <f t="shared" si="9"/>
        <v>183.3276379594046</v>
      </c>
      <c r="D62" s="47">
        <f>C62*(Assumptions!$B$29+Assumptions!$B$28)/12</f>
        <v>1.8332763795940463</v>
      </c>
      <c r="E62" s="47">
        <f>C62*Assumptions!$B$29/12</f>
        <v>1.5277303163283718</v>
      </c>
      <c r="F62" s="50">
        <f t="shared" si="5"/>
        <v>183.63318402267029</v>
      </c>
      <c r="G62" s="50">
        <f t="shared" si="6"/>
        <v>183.48041099103745</v>
      </c>
      <c r="H62" s="47">
        <f>G62*Assumptions!C16</f>
        <v>146.78432879282997</v>
      </c>
      <c r="I62" s="48">
        <f>MAX(0,MIN(0.95,Assumptions!D16+Assumptions!$B$30))</f>
        <v>0.75</v>
      </c>
      <c r="J62" s="49">
        <f>Assumptions!E16*(1+Assumptions!$B$31)</f>
        <v>2163</v>
      </c>
      <c r="K62" s="47">
        <f>H62*I62*Assumptions!$B$21*J62/1000000</f>
        <v>38.099340381466945</v>
      </c>
      <c r="L62" s="47">
        <f>G62*Assumptions!F16*(1+Assumptions!$B$32)</f>
        <v>20.228715311761878</v>
      </c>
      <c r="M62" s="47">
        <f>K62*Assumptions!$B$34</f>
        <v>2.8574505286100207</v>
      </c>
      <c r="N62" s="47">
        <f>G62*(Assumptions!G16*(1+Assumptions!$B$33)+Assumptions!$B$35*(1+Assumptions!$B$33))</f>
        <v>2.8622944114601845</v>
      </c>
      <c r="O62" s="47">
        <f>K62*Assumptions!$B$36*(1+Assumptions!$B$33)</f>
        <v>1.783049129852653</v>
      </c>
      <c r="P62" s="50">
        <f t="shared" si="7"/>
        <v>27.731509381684734</v>
      </c>
      <c r="Q62" s="50">
        <f t="shared" si="8"/>
        <v>10.36783099978221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46">
        <v>46722</v>
      </c>
      <c r="B63" s="17" t="s">
        <v>42</v>
      </c>
      <c r="C63" s="50">
        <f t="shared" si="9"/>
        <v>157.86546602059835</v>
      </c>
      <c r="D63" s="47">
        <f>C63*(Assumptions!$B$29+Assumptions!$B$28)/12</f>
        <v>1.5786546602059837</v>
      </c>
      <c r="E63" s="47">
        <f>C63*Assumptions!$B$29/12</f>
        <v>1.3155455501716531</v>
      </c>
      <c r="F63" s="50">
        <f t="shared" si="5"/>
        <v>158.12857513063267</v>
      </c>
      <c r="G63" s="50">
        <f t="shared" si="6"/>
        <v>157.99702057561552</v>
      </c>
      <c r="H63" s="47">
        <f>G63*Assumptions!C17</f>
        <v>123.23767604898011</v>
      </c>
      <c r="I63" s="48">
        <f>MAX(0,MIN(0.95,Assumptions!D17+Assumptions!$B$30))</f>
        <v>0.73</v>
      </c>
      <c r="J63" s="49">
        <f>Assumptions!E17*(1+Assumptions!$B$31)</f>
        <v>2008.5</v>
      </c>
      <c r="K63" s="47">
        <f>H63*I63*Assumptions!$B$21*J63/1000000</f>
        <v>28.910671489823176</v>
      </c>
      <c r="L63" s="47">
        <f>G63*Assumptions!F17*(1+Assumptions!$B$32)</f>
        <v>16.589687160439631</v>
      </c>
      <c r="M63" s="47">
        <f>K63*Assumptions!$B$34</f>
        <v>2.1683003617367382</v>
      </c>
      <c r="N63" s="47">
        <f>G63*(Assumptions!G17*(1+Assumptions!$B$33)+Assumptions!$B$35*(1+Assumptions!$B$33))</f>
        <v>2.3004366195809625</v>
      </c>
      <c r="O63" s="47">
        <f>K63*Assumptions!$B$36*(1+Assumptions!$B$33)</f>
        <v>1.3530194257237245</v>
      </c>
      <c r="P63" s="50">
        <f t="shared" si="7"/>
        <v>22.411443567481058</v>
      </c>
      <c r="Q63" s="50">
        <f t="shared" si="8"/>
        <v>6.4992279223421185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199"/>
  <sheetViews>
    <sheetView showGridLines="0" workbookViewId="0"/>
  </sheetViews>
  <sheetFormatPr defaultRowHeight="14.4"/>
  <cols>
    <col min="1" max="1" width="52" style="18" customWidth="1"/>
    <col min="2" max="2" width="8.796875" style="18" bestFit="1" customWidth="1"/>
    <col min="3" max="3" width="8.59765625" style="18" bestFit="1" customWidth="1"/>
    <col min="4" max="4" width="6" style="18" bestFit="1" customWidth="1"/>
    <col min="5" max="16384" width="8.796875" style="18"/>
  </cols>
  <sheetData>
    <row r="1" spans="1:52" ht="24" customHeight="1">
      <c r="A1" s="68" t="s">
        <v>50</v>
      </c>
      <c r="B1" s="51"/>
      <c r="C1" s="51"/>
      <c r="D1" s="51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ht="30" customHeight="1">
      <c r="A3" s="22" t="s">
        <v>150</v>
      </c>
      <c r="B3" s="69" t="s">
        <v>151</v>
      </c>
      <c r="C3" s="69" t="s">
        <v>152</v>
      </c>
      <c r="D3" s="69" t="s">
        <v>153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>
      <c r="A4" s="17" t="s">
        <v>154</v>
      </c>
      <c r="B4" s="70">
        <f>SUM('P&amp;L'!Z4:AK4)-SUM('Revenue Forecast'!I4:I63)</f>
        <v>0</v>
      </c>
      <c r="C4" s="71">
        <v>0.01</v>
      </c>
      <c r="D4" s="17" t="str">
        <f t="shared" ref="D4:D9" si="0">IF(ABS(B4)&lt;=C4,"OK","REVIEW")</f>
        <v>OK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>
      <c r="A5" s="17" t="s">
        <v>155</v>
      </c>
      <c r="B5" s="70">
        <f>SUM('P&amp;L'!Z5:AK5)-SUM('Headcount Plan'!K4:K63)</f>
        <v>0</v>
      </c>
      <c r="C5" s="71">
        <v>0.01</v>
      </c>
      <c r="D5" s="17" t="str">
        <f t="shared" si="0"/>
        <v>OK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>
      <c r="A6" s="17" t="s">
        <v>156</v>
      </c>
      <c r="B6" s="70">
        <f>SUM('P&amp;L'!Z5:AK6)+SUM('P&amp;L'!Z9:AK11)-SUM('Opex Forecast'!I4:I15)</f>
        <v>0</v>
      </c>
      <c r="C6" s="71">
        <v>0.01</v>
      </c>
      <c r="D6" s="17" t="str">
        <f t="shared" si="0"/>
        <v>OK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>
      <c r="A7" s="17" t="s">
        <v>157</v>
      </c>
      <c r="B7" s="70">
        <f>SUM('P&amp;L'!Z12:AK12)-(SUM('P&amp;L'!Z4:AK4)-SUM('Opex Forecast'!I4:I15))</f>
        <v>0</v>
      </c>
      <c r="C7" s="71">
        <v>0.01</v>
      </c>
      <c r="D7" s="17" t="str">
        <f t="shared" si="0"/>
        <v>OK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>
      <c r="A8" s="17" t="s">
        <v>158</v>
      </c>
      <c r="B8" s="70">
        <f>SUM('Headcount Plan'!C4:C8)-SUM(Assumptions!B13:B17)</f>
        <v>0</v>
      </c>
      <c r="C8" s="71">
        <v>0.01</v>
      </c>
      <c r="D8" s="17" t="str">
        <f t="shared" si="0"/>
        <v>OK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>
      <c r="A9" s="17" t="s">
        <v>159</v>
      </c>
      <c r="B9" s="70">
        <f>SUM('P&amp;L'!Z4:AK4)-SUM('P&amp;L- Detailed View'!Z4:AK4)-SUM('P&amp;L- Detailed View'!Z16:AK16)-SUM('P&amp;L- Detailed View'!Z28:AK28)-SUM('P&amp;L- Detailed View'!Z40:AK40)-SUM('P&amp;L- Detailed View'!Z52:AK52)</f>
        <v>0</v>
      </c>
      <c r="C9" s="71">
        <v>0.01</v>
      </c>
      <c r="D9" s="17" t="str">
        <f t="shared" si="0"/>
        <v>OK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</sheetData>
  <conditionalFormatting sqref="D4:D9">
    <cfRule type="containsText" dxfId="1" priority="1" operator="containsText" text="REVIEW"/>
    <cfRule type="containsText" dxfId="0" priority="2" operator="containsText" text="OK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Actuals</vt:lpstr>
      <vt:lpstr>Revenue Forecast</vt:lpstr>
      <vt:lpstr>Headcount Plan</vt:lpstr>
      <vt:lpstr>Opex Forecast</vt:lpstr>
      <vt:lpstr>P&amp;L</vt:lpstr>
      <vt:lpstr>P&amp;L- Detailed View</vt:lpstr>
      <vt:lpstr>Fct vs Bud Var Analysis</vt:lpstr>
      <vt:lpstr>Scenarios</vt:lpstr>
      <vt:lpstr>Budget 2027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Rukmini k s</dc:creator>
  <cp:lastModifiedBy>Rukmini k s</cp:lastModifiedBy>
  <dcterms:created xsi:type="dcterms:W3CDTF">2026-09-20T14:54:52Z</dcterms:created>
  <dcterms:modified xsi:type="dcterms:W3CDTF">2026-09-20T15:02:55Z</dcterms:modified>
</cp:coreProperties>
</file>